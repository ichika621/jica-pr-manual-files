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aceCorps" sheetId="1" state="visible" r:id="rId1"/>
    <sheet xmlns:r="http://schemas.openxmlformats.org/officeDocument/2006/relationships" name="KOICA" sheetId="2" state="visible" r:id="rId2"/>
    <sheet xmlns:r="http://schemas.openxmlformats.org/officeDocument/2006/relationships" name="JICA" sheetId="3" state="visible" r:id="rId3"/>
    <sheet xmlns:r="http://schemas.openxmlformats.org/officeDocument/2006/relationships" name="選択肢リスト"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倍"/>
  </numFmts>
  <fonts count="16">
    <font>
      <name val="Calibri"/>
      <color theme="1"/>
      <sz val="11"/>
      <scheme val="minor"/>
    </font>
    <font>
      <name val="Noto Sans"/>
      <b val="1"/>
      <color rgb="FF1F3864"/>
      <sz val="10"/>
    </font>
    <font>
      <name val="Meiryo"/>
      <b val="1"/>
      <color rgb="FF1F3864"/>
      <sz val="14"/>
    </font>
    <font>
      <name val="Noto Sans"/>
      <b val="1"/>
      <color rgb="FFFFFFFF"/>
      <sz val="10"/>
    </font>
    <font>
      <name val="Noto Sans"/>
      <color rgb="FF595959"/>
      <sz val="9"/>
    </font>
    <font>
      <name val="Noto Sans"/>
      <color theme="1"/>
      <sz val="10"/>
    </font>
    <font>
      <name val="Meiryo"/>
      <b val="1"/>
      <color rgb="FFFFFFFF"/>
      <sz val="9"/>
    </font>
    <font>
      <name val="Noto Sans"/>
      <b val="1"/>
      <color rgb="FFFFFFFF"/>
      <sz val="9"/>
    </font>
    <font>
      <name val="Arial"/>
      <color theme="1"/>
      <sz val="10"/>
    </font>
    <font>
      <name val="Meiryo"/>
      <color theme="1"/>
      <sz val="10"/>
    </font>
    <font>
      <name val="Meiryo"/>
      <color theme="1"/>
      <sz val="9"/>
    </font>
    <font>
      <name val="Meiryo"/>
      <color rgb="FF0000FF"/>
      <sz val="9"/>
      <u val="single"/>
    </font>
    <font>
      <name val="Noto Sans"/>
      <color theme="1"/>
      <sz val="9"/>
    </font>
    <font>
      <name val="Arial"/>
      <color theme="1"/>
      <sz val="9"/>
    </font>
    <font>
      <name val="Meiryo"/>
      <color rgb="FF0000FF"/>
      <sz val="9"/>
      <u val="single"/>
    </font>
    <font>
      <name val="Meiryo"/>
      <b val="1"/>
      <color rgb="FF1F3864"/>
      <sz val="10"/>
    </font>
  </fonts>
  <fills count="6">
    <fill>
      <patternFill/>
    </fill>
    <fill>
      <patternFill patternType="lightGray"/>
    </fill>
    <fill>
      <patternFill patternType="solid">
        <fgColor rgb="FF1F3864"/>
        <bgColor rgb="FF1F3864"/>
      </patternFill>
    </fill>
    <fill>
      <patternFill patternType="solid">
        <fgColor rgb="FFFFFFFF"/>
        <bgColor rgb="FFFFFFFF"/>
      </patternFill>
    </fill>
    <fill>
      <patternFill patternType="solid">
        <fgColor rgb="FFF2F2F2"/>
        <bgColor rgb="FFF2F2F2"/>
      </patternFill>
    </fill>
    <fill>
      <patternFill patternType="solid">
        <fgColor rgb="FFDDEBF7"/>
        <bgColor rgb="FFDDEBF7"/>
      </patternFill>
    </fill>
  </fills>
  <borders count="3">
    <border/>
    <border>
      <left/>
      <right/>
      <top/>
      <bottom/>
    </border>
    <border>
      <left style="thin">
        <color rgb="FFB4C6E7"/>
      </left>
      <right style="thin">
        <color rgb="FFB4C6E7"/>
      </right>
      <top style="thin">
        <color rgb="FFB4C6E7"/>
      </top>
      <bottom style="thin">
        <color rgb="FFB4C6E7"/>
      </bottom>
    </border>
  </borders>
  <cellStyleXfs count="1">
    <xf numFmtId="0" fontId="0" fillId="0" borderId="0"/>
  </cellStyleXfs>
  <cellXfs count="52">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2" borderId="1" applyAlignment="1" pivotButton="0" quotePrefix="0" xfId="0">
      <alignment horizontal="center" vertical="bottom"/>
    </xf>
    <xf numFmtId="0" fontId="4" fillId="0" borderId="0" applyAlignment="1" pivotButton="0" quotePrefix="0" xfId="0">
      <alignment vertical="center" wrapText="1"/>
    </xf>
    <xf numFmtId="0" fontId="5" fillId="0" borderId="0" applyAlignment="1" pivotButton="0" quotePrefix="0" xfId="0">
      <alignment vertical="bottom"/>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0" applyAlignment="1" pivotButton="0" quotePrefix="0" xfId="0">
      <alignment vertical="bottom"/>
    </xf>
    <xf numFmtId="0" fontId="9" fillId="0" borderId="0" applyAlignment="1" pivotButton="0" quotePrefix="0" xfId="0">
      <alignment vertical="bottom"/>
    </xf>
    <xf numFmtId="0" fontId="5" fillId="0" borderId="0" applyAlignment="1" pivotButton="0" quotePrefix="0" xfId="0">
      <alignment vertical="bottom"/>
    </xf>
    <xf numFmtId="0" fontId="10" fillId="3" borderId="2" applyAlignment="1" pivotButton="0" quotePrefix="0" xfId="0">
      <alignment horizontal="center" vertical="top"/>
    </xf>
    <xf numFmtId="164" fontId="10" fillId="3" borderId="2" applyAlignment="1" pivotButton="0" quotePrefix="0" xfId="0">
      <alignment horizontal="center" vertical="top"/>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11" fillId="3" borderId="2" applyAlignment="1" pivotButton="0" quotePrefix="0" xfId="0">
      <alignment horizontal="left" vertical="top"/>
    </xf>
    <xf numFmtId="0" fontId="12" fillId="3" borderId="2" applyAlignment="1" pivotButton="0" quotePrefix="0" xfId="0">
      <alignment horizontal="left" vertical="top"/>
    </xf>
    <xf numFmtId="0" fontId="10" fillId="3" borderId="2" applyAlignment="1" pivotButton="0" quotePrefix="0" xfId="0">
      <alignment horizontal="center" vertical="top"/>
    </xf>
    <xf numFmtId="164" fontId="10" fillId="3" borderId="2" applyAlignment="1" pivotButton="0" quotePrefix="0" xfId="0">
      <alignment horizontal="center" vertical="top"/>
    </xf>
    <xf numFmtId="0" fontId="12" fillId="3" borderId="2" applyAlignment="1" pivotButton="0" quotePrefix="0" xfId="0">
      <alignment horizontal="left" vertical="top" wrapText="1"/>
    </xf>
    <xf numFmtId="0" fontId="12" fillId="3" borderId="2" applyAlignment="1" pivotButton="0" quotePrefix="0" xfId="0">
      <alignment horizontal="left" vertical="top"/>
    </xf>
    <xf numFmtId="0" fontId="10" fillId="3" borderId="2" applyAlignment="1" pivotButton="0" quotePrefix="0" xfId="0">
      <alignment horizontal="left" vertical="top" wrapText="1"/>
    </xf>
    <xf numFmtId="0" fontId="13" fillId="3" borderId="2" applyAlignment="1" pivotButton="0" quotePrefix="0" xfId="0">
      <alignment horizontal="left" vertical="top" wrapText="1"/>
    </xf>
    <xf numFmtId="0" fontId="14" fillId="3" borderId="2" applyAlignment="1" pivotButton="0" quotePrefix="0" xfId="0">
      <alignment horizontal="left" vertical="top"/>
    </xf>
    <xf numFmtId="1" fontId="10" fillId="3" borderId="2" applyAlignment="1" pivotButton="0" quotePrefix="0" xfId="0">
      <alignment horizontal="center" vertical="top"/>
    </xf>
    <xf numFmtId="3" fontId="10" fillId="3" borderId="2" applyAlignment="1" pivotButton="0" quotePrefix="0" xfId="0">
      <alignment horizontal="center" vertical="top"/>
    </xf>
    <xf numFmtId="0" fontId="12" fillId="3" borderId="2" applyAlignment="1" pivotButton="0" quotePrefix="0" xfId="0">
      <alignment horizontal="left" vertical="top"/>
    </xf>
    <xf numFmtId="0" fontId="12" fillId="3" borderId="2" applyAlignment="1" pivotButton="0" quotePrefix="0" xfId="0">
      <alignment horizontal="left" vertical="top" wrapText="1"/>
    </xf>
    <xf numFmtId="0" fontId="12" fillId="3" borderId="2" applyAlignment="1" pivotButton="0" quotePrefix="0" xfId="0">
      <alignment horizontal="left" vertical="top" wrapText="1"/>
    </xf>
    <xf numFmtId="165" fontId="10" fillId="4" borderId="2" applyAlignment="1" pivotButton="0" quotePrefix="0" xfId="0">
      <alignment horizontal="center" vertical="top"/>
    </xf>
    <xf numFmtId="0" fontId="12" fillId="3" borderId="2" applyAlignment="1" pivotButton="0" quotePrefix="0" xfId="0">
      <alignment horizontal="left" vertical="top" wrapText="1"/>
    </xf>
    <xf numFmtId="1" fontId="10" fillId="3" borderId="2" applyAlignment="1" pivotButton="0" quotePrefix="0" xfId="0">
      <alignment horizontal="center" vertical="top"/>
    </xf>
    <xf numFmtId="3" fontId="10" fillId="3" borderId="2" applyAlignment="1" pivotButton="0" quotePrefix="0" xfId="0">
      <alignment horizontal="center" vertical="top"/>
    </xf>
    <xf numFmtId="10" fontId="10" fillId="4" borderId="2" applyAlignment="1" pivotButton="0" quotePrefix="0" xfId="0">
      <alignment horizontal="center" vertical="top"/>
    </xf>
    <xf numFmtId="0" fontId="10" fillId="5" borderId="2" applyAlignment="1" pivotButton="0" quotePrefix="0" xfId="0">
      <alignment horizontal="left" vertical="top" wrapText="1"/>
    </xf>
    <xf numFmtId="165" fontId="10" fillId="4" borderId="2" applyAlignment="1" pivotButton="0" quotePrefix="0" xfId="0">
      <alignment horizontal="center" vertical="top"/>
    </xf>
    <xf numFmtId="0" fontId="10" fillId="3" borderId="2" applyAlignment="1" pivotButton="0" quotePrefix="0" xfId="0">
      <alignment horizontal="left" vertical="top"/>
    </xf>
    <xf numFmtId="10" fontId="10" fillId="4" borderId="2" applyAlignment="1" pivotButton="0" quotePrefix="0" xfId="0">
      <alignment horizontal="center" vertical="top"/>
    </xf>
    <xf numFmtId="0" fontId="10" fillId="3" borderId="2" applyAlignment="1" pivotButton="0" quotePrefix="0" xfId="0">
      <alignment horizontal="left" vertical="top" wrapText="1"/>
    </xf>
    <xf numFmtId="0" fontId="10" fillId="5" borderId="2" applyAlignment="1" pivotButton="0" quotePrefix="0" xfId="0">
      <alignment horizontal="left" vertical="top" wrapText="1"/>
    </xf>
    <xf numFmtId="0" fontId="10" fillId="5" borderId="2" applyAlignment="1" pivotButton="0" quotePrefix="0" xfId="0">
      <alignment horizontal="left" vertical="top" wrapText="1"/>
    </xf>
    <xf numFmtId="0" fontId="10" fillId="5" borderId="2" applyAlignment="1" pivotButton="0" quotePrefix="0" xfId="0">
      <alignment horizontal="left" vertical="top" wrapText="1"/>
    </xf>
    <xf numFmtId="0" fontId="10" fillId="3" borderId="2" applyAlignment="1" pivotButton="0" quotePrefix="0" xfId="0">
      <alignment horizontal="left" vertical="top" wrapText="1"/>
    </xf>
    <xf numFmtId="0" fontId="12" fillId="3" borderId="2" applyAlignment="1" pivotButton="0" quotePrefix="0" xfId="0">
      <alignment horizontal="left" vertical="top"/>
    </xf>
    <xf numFmtId="0" fontId="13" fillId="3" borderId="2" applyAlignment="1" pivotButton="0" quotePrefix="0" xfId="0">
      <alignment horizontal="left" vertical="top" wrapText="1"/>
    </xf>
    <xf numFmtId="0" fontId="10" fillId="3" borderId="2" applyAlignment="1" pivotButton="0" quotePrefix="0" xfId="0">
      <alignment horizontal="left" vertical="top" wrapText="1"/>
    </xf>
    <xf numFmtId="0" fontId="1" fillId="0" borderId="0" applyAlignment="1" pivotButton="0" quotePrefix="0" xfId="0">
      <alignment horizontal="right" vertical="bottom"/>
    </xf>
    <xf numFmtId="1" fontId="15" fillId="4" borderId="2" applyAlignment="1" pivotButton="0" quotePrefix="0" xfId="0">
      <alignment horizontal="center" vertical="bottom"/>
    </xf>
    <xf numFmtId="3" fontId="15" fillId="4" borderId="2" applyAlignment="1" pivotButton="0" quotePrefix="0" xfId="0">
      <alignment horizontal="center" vertical="bottom"/>
    </xf>
    <xf numFmtId="165" fontId="15" fillId="4" borderId="2" applyAlignment="1" pivotButton="0" quotePrefix="0" xfId="0">
      <alignment horizontal="center" vertical="bottom"/>
    </xf>
    <xf numFmtId="10" fontId="15" fillId="4" borderId="2" applyAlignment="1" pivotButton="0" quotePrefix="0" xfId="0">
      <alignment horizontal="center" vertical="bottom"/>
    </xf>
    <xf numFmtId="0" fontId="0" fillId="0" borderId="0" pivotButton="0" quotePrefix="0" xfId="0"/>
  </cellXfs>
  <cellStyles count="1">
    <cellStyle name="Normal" xfId="0" builtinId="0"/>
  </cellStyles>
  <dxfs count="4">
    <dxf>
      <font/>
      <fill>
        <patternFill/>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defaultTableStyle="TableStyleMedium9" defaultPivotStyle="PivotStyleLight16">
    <tableStyle name="KOICA-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N4" authorId="0" shapeId="0">
      <text>
        <t>投稿時点のフォロワー数は外部から取得できないため、2026/8/10時点の現在値を全行に入力しています。</t>
      </text>
    </comment>
    <comment ref="P4" authorId="0" shapeId="0">
      <text>
        <t>いいね÷再生回数。この値が極端に低い投稿は、広告配信などでリーチが押し上げられている可能性が高いと判断できます。</t>
      </text>
    </comment>
  </commentList>
</comments>
</file>

<file path=xl/comments/comment2.xml><?xml version="1.0" encoding="utf-8"?>
<comments xmlns="http://schemas.openxmlformats.org/spreadsheetml/2006/main">
  <authors>
    <author>None</author>
  </authors>
  <commentList>
    <comment ref="N4" authorId="0" shapeId="0">
      <text>
        <t>投稿時点のフォロワー数は外部から取得できないため、2026/8/10時点の現在値を全行に入力しています。</t>
      </text>
    </comment>
    <comment ref="P4" authorId="0" shapeId="0">
      <text>
        <t>いいね÷再生回数。この値が極端に低い投稿は、広告配信などでリーチが押し上げられている可能性が高いと判断できます。</t>
      </text>
    </comment>
  </commentList>
</comments>
</file>

<file path=xl/comments/comment3.xml><?xml version="1.0" encoding="utf-8"?>
<comments xmlns="http://schemas.openxmlformats.org/spreadsheetml/2006/main">
  <authors>
    <author>None</author>
  </authors>
  <commentList>
    <comment ref="N4" authorId="0" shapeId="0">
      <text>
        <t>投稿時点のフォロワー数は外部から取得できないため、2026/8/10時点の現在値を全行に入力しています。</t>
      </text>
    </comment>
    <comment ref="P4" authorId="0" shapeId="0">
      <text>
        <t>いいね÷再生回数。この値が極端に低い投稿は、広告配信などでリーチが押し上げられている可能性が高いと判断できます。</t>
      </text>
    </comment>
  </commentList>
</comments>
</file>

<file path=xl/tables/table1.xml><?xml version="1.0" encoding="utf-8"?>
<table xmlns="http://schemas.openxmlformats.org/spreadsheetml/2006/main" id="1" name="Table_1" displayName="Table_1" ref="A4:S24" headerRowCount="1">
  <tableColumns count="19">
    <tableColumn id="1" name="No."/>
    <tableColumn id="2" name="投稿日"/>
    <tableColumn id="3" name="投稿URL"/>
    <tableColumn id="4" name="形式"/>
    <tableColumn id="5" name="ジャンル"/>
    <tableColumn id="6" name="サブテーマ・対象国/地域"/>
    <tableColumn id="7" name="ストーリーテリング手法"/>
    <tableColumn id="8" name="推定される投稿の目的"/>
    <tableColumn id="9" name="冒頭のフック／投稿内容の要約"/>
    <tableColumn id="10" name="動画尺_x000a_（秒）"/>
    <tableColumn id="11" name="再生回数"/>
    <tableColumn id="12" name="いいね"/>
    <tableColumn id="13" name="コメント"/>
    <tableColumn id="14" name="フォロワー数_x000a_（現在値）"/>
    <tableColumn id="15" name="再生÷_x000a_フォロワー_x000a_（自動）"/>
    <tableColumn id="16" name="いいね率_x000a_（対再生・自動）"/>
    <tableColumn id="17" name="良い点・目を引く点"/>
    <tableColumn id="18" name="コメントの概要（どんな反応か）"/>
    <tableColumn id="19" name="気づいたこと・自アカウントへの応用"/>
  </tableColumns>
  <tableStyleInfo name="KOICA-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reel/C08JtmIoWEU/" TargetMode="External" Id="rId1"/><Relationship Type="http://schemas.openxmlformats.org/officeDocument/2006/relationships/hyperlink" Target="https://www.instagram.com/reel/DXObASpCPt-/" TargetMode="External" Id="rId2"/><Relationship Type="http://schemas.openxmlformats.org/officeDocument/2006/relationships/hyperlink" Target="https://www.instagram.com/reel/Cs5olkdI9rr/" TargetMode="External" Id="rId3"/><Relationship Type="http://schemas.openxmlformats.org/officeDocument/2006/relationships/hyperlink" Target="https://www.instagram.com/reel/C1FIv5byqi7/" TargetMode="External" Id="rId4"/><Relationship Type="http://schemas.openxmlformats.org/officeDocument/2006/relationships/hyperlink" Target="https://www.instagram.com/reel/DOviK6_DDqd/" TargetMode="External" Id="rId5"/><Relationship Type="http://schemas.openxmlformats.org/officeDocument/2006/relationships/hyperlink" Target="https://www.instagram.com/reel/C2HuTNrIAw5/" TargetMode="External" Id="rId6"/><Relationship Type="http://schemas.openxmlformats.org/officeDocument/2006/relationships/hyperlink" Target="https://www.instagram.com/reel/DSC7R9CghOE/" TargetMode="External" Id="rId7"/><Relationship Type="http://schemas.openxmlformats.org/officeDocument/2006/relationships/hyperlink" Target="https://www.instagram.com/reel/C5icz2UI2cT/" TargetMode="External" Id="rId8"/><Relationship Type="http://schemas.openxmlformats.org/officeDocument/2006/relationships/hyperlink" Target="https://www.instagram.com/reel/DOv-l5CgjPQ/" TargetMode="External" Id="rId9"/><Relationship Type="http://schemas.openxmlformats.org/officeDocument/2006/relationships/hyperlink" Target="https://www.instagram.com/reel/C8CTD7xICfk/" TargetMode="External" Id="rId10"/><Relationship Type="http://schemas.openxmlformats.org/officeDocument/2006/relationships/hyperlink" Target="https://www.instagram.com/reel/Cs-v4rFopFZ/" TargetMode="External" Id="rId11"/><Relationship Type="http://schemas.openxmlformats.org/officeDocument/2006/relationships/hyperlink" Target="https://www.instagram.com/reel/DE1dg33g5po/" TargetMode="External" Id="rId12"/><Relationship Type="http://schemas.openxmlformats.org/officeDocument/2006/relationships/hyperlink" Target="https://www.instagram.com/reel/C0UfnR8MCUS/" TargetMode="External" Id="rId13"/><Relationship Type="http://schemas.openxmlformats.org/officeDocument/2006/relationships/hyperlink" Target="https://www.instagram.com/reel/CtlbFNUITxR/" TargetMode="External" Id="rId14"/><Relationship Type="http://schemas.openxmlformats.org/officeDocument/2006/relationships/hyperlink" Target="https://www.instagram.com/reel/C-DSzcaIp4_/" TargetMode="External" Id="rId15"/><Relationship Type="http://schemas.openxmlformats.org/officeDocument/2006/relationships/hyperlink" Target="https://www.instagram.com/reel/C2G2pXlIlVM/" TargetMode="External" Id="rId16"/><Relationship Type="http://schemas.openxmlformats.org/officeDocument/2006/relationships/hyperlink" Target="https://www.instagram.com/reel/DOYeUA9Akak/" TargetMode="External" Id="rId17"/><Relationship Type="http://schemas.openxmlformats.org/officeDocument/2006/relationships/hyperlink" Target="https://www.instagram.com/reel/DOtK-CUAmnw/" TargetMode="External" Id="rId18"/><Relationship Type="http://schemas.openxmlformats.org/officeDocument/2006/relationships/hyperlink" Target="https://www.instagram.com/reel/DRPU1spAsYB/" TargetMode="External" Id="rId19"/><Relationship Type="http://schemas.openxmlformats.org/officeDocument/2006/relationships/hyperlink" Target="https://www.instagram.com/reel/DZ2YUqNlfk2/" TargetMode="External" Id="rId2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instagram.com/reel/DQ_kcXqkQvO/" TargetMode="External" Id="rId1"/><Relationship Type="http://schemas.openxmlformats.org/officeDocument/2006/relationships/hyperlink" Target="https://www.instagram.com/reel/DRgiXB_jITA/" TargetMode="External" Id="rId2"/><Relationship Type="http://schemas.openxmlformats.org/officeDocument/2006/relationships/hyperlink" Target="https://www.instagram.com/reel/DRO6sigjdN9/" TargetMode="External" Id="rId3"/><Relationship Type="http://schemas.openxmlformats.org/officeDocument/2006/relationships/hyperlink" Target="https://www.instagram.com/reel/C5QALtSMaQD/" TargetMode="External" Id="rId4"/><Relationship Type="http://schemas.openxmlformats.org/officeDocument/2006/relationships/hyperlink" Target="https://www.instagram.com/reel/DR84NWLAquU/" TargetMode="External" Id="rId5"/><Relationship Type="http://schemas.openxmlformats.org/officeDocument/2006/relationships/hyperlink" Target="https://www.instagram.com/reel/DJyhfMMssEw/" TargetMode="External" Id="rId6"/><Relationship Type="http://schemas.openxmlformats.org/officeDocument/2006/relationships/hyperlink" Target="https://www.instagram.com/reel/DO-mUshjD9l/" TargetMode="External" Id="rId7"/><Relationship Type="http://schemas.openxmlformats.org/officeDocument/2006/relationships/hyperlink" Target="https://www.instagram.com/reel/DZHphIEsElO/" TargetMode="External" Id="rId8"/><Relationship Type="http://schemas.openxmlformats.org/officeDocument/2006/relationships/hyperlink" Target="https://www.instagram.com/reel/C0o7EDasJZJ/" TargetMode="External" Id="rId9"/><Relationship Type="http://schemas.openxmlformats.org/officeDocument/2006/relationships/hyperlink" Target="https://www.instagram.com/reel/DP5Qsb1jhbe/" TargetMode="External" Id="rId10"/><Relationship Type="http://schemas.openxmlformats.org/officeDocument/2006/relationships/hyperlink" Target="https://www.instagram.com/reel/C3HdfCrIbQx/" TargetMode="External" Id="rId11"/><Relationship Type="http://schemas.openxmlformats.org/officeDocument/2006/relationships/hyperlink" Target="https://www.instagram.com/reel/DV7rDJPDgYV/" TargetMode="External" Id="rId12"/><Relationship Type="http://schemas.openxmlformats.org/officeDocument/2006/relationships/hyperlink" Target="https://www.instagram.com/reel/DaMdZ3DJONL/" TargetMode="External" Id="rId13"/><Relationship Type="http://schemas.openxmlformats.org/officeDocument/2006/relationships/hyperlink" Target="https://www.instagram.com/reel/DV7xteRCAYX/" TargetMode="External" Id="rId14"/><Relationship Type="http://schemas.openxmlformats.org/officeDocument/2006/relationships/hyperlink" Target="https://www.instagram.com/reel/DAPphpzI2un/" TargetMode="External" Id="rId15"/><Relationship Type="http://schemas.openxmlformats.org/officeDocument/2006/relationships/hyperlink" Target="https://www.instagram.com/reel/DP5Prn7Du6O/" TargetMode="External" Id="rId16"/><Relationship Type="http://schemas.openxmlformats.org/officeDocument/2006/relationships/hyperlink" Target="https://www.instagram.com/reel/DaP3N6Fh90C/" TargetMode="External" Id="rId17"/><Relationship Type="http://schemas.openxmlformats.org/officeDocument/2006/relationships/hyperlink" Target="https://www.instagram.com/reel/CyQzmDSoq4V/" TargetMode="External" Id="rId18"/><Relationship Type="http://schemas.openxmlformats.org/officeDocument/2006/relationships/hyperlink" Target="https://www.instagram.com/reel/DQlERUaDEYC/" TargetMode="External" Id="rId19"/><Relationship Type="http://schemas.openxmlformats.org/officeDocument/2006/relationships/hyperlink" Target="https://www.instagram.com/reel/DHSwjBUssxN/" TargetMode="External" Id="rId20"/><Relationship Type="http://schemas.openxmlformats.org/officeDocument/2006/relationships/table" Target="/xl/tables/table1.xml" Id="rId2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www.instagram.com/reel/DRhMMeqjHBc/" TargetMode="External" Id="rId1"/><Relationship Type="http://schemas.openxmlformats.org/officeDocument/2006/relationships/hyperlink" Target="https://www.instagram.com/reel/DNSCFAgCYtL/" TargetMode="External" Id="rId2"/><Relationship Type="http://schemas.openxmlformats.org/officeDocument/2006/relationships/hyperlink" Target="https://www.instagram.com/reel/DNiLnyKphEd/" TargetMode="External" Id="rId3"/><Relationship Type="http://schemas.openxmlformats.org/officeDocument/2006/relationships/hyperlink" Target="https://www.instagram.com/reel/DPOdmc_inwO/" TargetMode="External" Id="rId4"/><Relationship Type="http://schemas.openxmlformats.org/officeDocument/2006/relationships/hyperlink" Target="https://www.instagram.com/reel/DRL4YycCRMU/" TargetMode="External" Id="rId5"/><Relationship Type="http://schemas.openxmlformats.org/officeDocument/2006/relationships/hyperlink" Target="https://www.instagram.com/reel/DRydQ1lEmEo/" TargetMode="External" Id="rId6"/><Relationship Type="http://schemas.openxmlformats.org/officeDocument/2006/relationships/hyperlink" Target="https://www.instagram.com/reel/DRyfGh7jjxw/" TargetMode="External" Id="rId7"/><Relationship Type="http://schemas.openxmlformats.org/officeDocument/2006/relationships/hyperlink" Target="https://www.instagram.com/reel/DRyeghHEZnI/" TargetMode="External" Id="rId8"/><Relationship Type="http://schemas.openxmlformats.org/officeDocument/2006/relationships/hyperlink" Target="https://www.instagram.com/reel/DRyd8eakrZo/" TargetMode="External" Id="rId9"/><Relationship Type="http://schemas.openxmlformats.org/officeDocument/2006/relationships/hyperlink" Target="https://www.instagram.com/reel/DRMRaIcCBwA/" TargetMode="External" Id="rId10"/><Relationship Type="http://schemas.openxmlformats.org/officeDocument/2006/relationships/hyperlink" Target="https://www.instagram.com/reel/C_suIoRKWGX/" TargetMode="External" Id="rId11"/><Relationship Type="http://schemas.openxmlformats.org/officeDocument/2006/relationships/hyperlink" Target="https://www.instagram.com/reel/DK02LqgITED/" TargetMode="External" Id="rId12"/><Relationship Type="http://schemas.openxmlformats.org/officeDocument/2006/relationships/hyperlink" Target="https://www.instagram.com/reel/C_vO9CwKPDC/" TargetMode="External" Id="rId13"/><Relationship Type="http://schemas.openxmlformats.org/officeDocument/2006/relationships/hyperlink" Target="https://www.instagram.com/reel/C_x-hovqAmy/" TargetMode="External" Id="rId14"/><Relationship Type="http://schemas.openxmlformats.org/officeDocument/2006/relationships/hyperlink" Target="https://www.instagram.com/reel/DUSxZ17knVX/" TargetMode="External" Id="rId15"/><Relationship Type="http://schemas.openxmlformats.org/officeDocument/2006/relationships/hyperlink" Target="https://www.instagram.com/reel/DL1-yseMBkF/" TargetMode="External" Id="rId16"/><Relationship Type="http://schemas.openxmlformats.org/officeDocument/2006/relationships/hyperlink" Target="https://www.instagram.com/reel/C_k3bCsq3uD/" TargetMode="External" Id="rId17"/><Relationship Type="http://schemas.openxmlformats.org/officeDocument/2006/relationships/hyperlink" Target="https://www.instagram.com/reel/DU0PvTYEy_v/" TargetMode="External" Id="rId18"/><Relationship Type="http://schemas.openxmlformats.org/officeDocument/2006/relationships/hyperlink" Target="https://www.instagram.com/reel/C_kzHQsqBiE/" TargetMode="External" Id="rId19"/><Relationship Type="http://schemas.openxmlformats.org/officeDocument/2006/relationships/hyperlink" Target="https://www.instagram.com/reel/DFM-cntPTAe/" TargetMode="External" Id="rId20"/><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S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5" customWidth="1" style="51" min="1" max="1"/>
    <col width="11" customWidth="1" style="51" min="2" max="2"/>
    <col width="30" customWidth="1" style="51" min="3" max="3"/>
    <col width="16" customWidth="1" style="51" min="4" max="4"/>
    <col width="18" customWidth="1" style="51" min="5" max="5"/>
    <col width="26" customWidth="1" style="51" min="6" max="6"/>
    <col width="24" customWidth="1" style="51" min="7" max="7"/>
    <col width="22" customWidth="1" style="51" min="8" max="8"/>
    <col width="44" customWidth="1" style="51" min="9" max="9"/>
    <col width="7" customWidth="1" style="51" min="10" max="10"/>
    <col width="11" customWidth="1" style="51" min="11" max="11"/>
    <col width="9" customWidth="1" style="51" min="12" max="13"/>
    <col width="12" customWidth="1" style="51" min="14" max="14"/>
    <col width="11" customWidth="1" style="51" min="15" max="16"/>
    <col width="46" customWidth="1" style="51" min="17" max="17"/>
    <col width="26" customWidth="1" style="51" min="18" max="18"/>
    <col width="46" customWidth="1" style="51" min="19" max="19"/>
    <col width="8.710000000000001" customWidth="1" style="51" min="20" max="24"/>
  </cols>
  <sheetData>
    <row r="1" ht="24" customHeight="1" s="51">
      <c r="A1" s="2" t="inlineStr">
        <is>
          <t>Peace Corps キルギス（@peacecorpskyrgyzstan）　フォロワー5,951人／投稿576件</t>
        </is>
      </c>
    </row>
    <row r="2" ht="55.5" customHeight="1" s="51">
      <c r="A2" s="4" t="inlineStr">
        <is>
          <t>【データ】2026/8/10時点。全投稿（Peace Corps 573件・KOICA 452件・JICA 236件）を取得し、再生回数の上位20件を降順で掲載。Instagramが再生回数を公開しているのはリールのみのため、上位20件は全てリールです（カルーセル・静止画は再生回数を外部から取得できません）。　【入力】白いセルは自動記入済みで上書き可。水色セル（保存数・コメントの概要）は手入力欄です。保存数は非公開のため空欄。グレー列は自動計算。フォロワー数は投稿時点ではなく現在値のため、エンゲージメント率は概算値です。　【選択式】形式・ジャンル・手法・目的の4列はセルをクリック→▼から選択（選択肢は『選択肢リスト』シートで追加可）。</t>
        </is>
      </c>
    </row>
    <row r="3" ht="6" customHeight="1" s="51"/>
    <row r="4" ht="45.75" customHeight="1" s="51">
      <c r="A4" s="13" t="inlineStr">
        <is>
          <t>No.</t>
        </is>
      </c>
      <c r="B4" s="14" t="inlineStr">
        <is>
          <t>投稿日</t>
        </is>
      </c>
      <c r="C4" s="14" t="inlineStr">
        <is>
          <t>投稿URL</t>
        </is>
      </c>
      <c r="D4" s="14" t="inlineStr">
        <is>
          <t>形式</t>
        </is>
      </c>
      <c r="E4" s="14" t="inlineStr">
        <is>
          <t>ジャンル</t>
        </is>
      </c>
      <c r="F4" s="14" t="inlineStr">
        <is>
          <t>サブテーマ・対象国/地域</t>
        </is>
      </c>
      <c r="G4" s="14" t="inlineStr">
        <is>
          <t>ストーリーテリング手法</t>
        </is>
      </c>
      <c r="H4" s="14" t="inlineStr">
        <is>
          <t>推定される投稿の目的</t>
        </is>
      </c>
      <c r="I4" s="14" t="inlineStr">
        <is>
          <t>冒頭のフック／投稿内容の要約</t>
        </is>
      </c>
      <c r="J4" s="14" t="inlineStr">
        <is>
          <t>動画尺
（秒）</t>
        </is>
      </c>
      <c r="K4" s="14" t="inlineStr">
        <is>
          <t>再生回数</t>
        </is>
      </c>
      <c r="L4" s="14" t="inlineStr">
        <is>
          <t>いいね</t>
        </is>
      </c>
      <c r="M4" s="14" t="inlineStr">
        <is>
          <t>コメント</t>
        </is>
      </c>
      <c r="N4" s="14" t="inlineStr">
        <is>
          <t>フォロワー数
（現在値）</t>
        </is>
      </c>
      <c r="O4" s="14" t="inlineStr">
        <is>
          <t>再生÷
フォロワー
（自動）</t>
        </is>
      </c>
      <c r="P4" s="14" t="inlineStr">
        <is>
          <t>いいね率
（対再生・自動）</t>
        </is>
      </c>
      <c r="Q4" s="14" t="inlineStr">
        <is>
          <t>良い点・目を引く点</t>
        </is>
      </c>
      <c r="R4" s="14" t="inlineStr">
        <is>
          <t>コメントの概要（どんな反応か）</t>
        </is>
      </c>
      <c r="S4" s="14" t="inlineStr">
        <is>
          <t>気づいたこと・自アカウントへの応用</t>
        </is>
      </c>
    </row>
    <row r="5" ht="96" customHeight="1" s="51">
      <c r="A5" s="17" t="n">
        <v>1</v>
      </c>
      <c r="B5" s="18" t="n">
        <v>45277</v>
      </c>
      <c r="C5" s="15" t="inlineStr">
        <is>
          <t>https://www.instagram.com/reel/C08JtmIoWEU/</t>
        </is>
      </c>
      <c r="D5" s="43" t="inlineStr">
        <is>
          <t>リール（動画）</t>
        </is>
      </c>
      <c r="E5" s="43" t="inlineStr">
        <is>
          <t>イベント・キャンペーン告知</t>
        </is>
      </c>
      <c r="F5" s="45" t="inlineStr">
        <is>
          <t>EMA地域初のSNS研修をキルギスで開催</t>
        </is>
      </c>
      <c r="G5" s="43" t="inlineStr">
        <is>
          <t>舞台裏（Behind the scenes）</t>
        </is>
      </c>
      <c r="H5" s="43" t="inlineStr">
        <is>
          <t>認知拡大（知ってもらう）</t>
        </is>
      </c>
      <c r="I5" s="30" t="n"/>
      <c r="J5" s="31" t="n">
        <v>60</v>
      </c>
      <c r="K5" s="32" t="n">
        <v>63808</v>
      </c>
      <c r="L5" s="32" t="n">
        <v>1338</v>
      </c>
      <c r="M5" s="32" t="n">
        <v>36</v>
      </c>
      <c r="N5" s="32" t="n">
        <v>5951</v>
      </c>
      <c r="O5" s="35">
        <f>IFERROR(K5/N5,"")</f>
        <v/>
      </c>
      <c r="P5" s="37">
        <f>IFERROR(L5/K5,"")</f>
        <v/>
      </c>
      <c r="Q5" s="30" t="n"/>
      <c r="R5" s="41" t="n"/>
      <c r="S5" s="30" t="n"/>
    </row>
    <row r="6" ht="96" customHeight="1" s="51">
      <c r="A6" s="17" t="n">
        <v>2</v>
      </c>
      <c r="B6" s="18" t="n">
        <v>46129</v>
      </c>
      <c r="C6" s="15" t="inlineStr">
        <is>
          <t>https://www.instagram.com/reel/DXObASpCPt-/</t>
        </is>
      </c>
      <c r="D6" s="43" t="inlineStr">
        <is>
          <t>リール（動画）</t>
        </is>
      </c>
      <c r="E6" s="43" t="inlineStr">
        <is>
          <t>ボランティア／派遣隊員</t>
        </is>
      </c>
      <c r="F6" s="30" t="inlineStr">
        <is>
          <t>隊員ジェイコブ（ナルン在住・コムズ演奏）</t>
        </is>
      </c>
      <c r="G6" s="43" t="inlineStr">
        <is>
          <t>インタビュー・Q&amp;A</t>
        </is>
      </c>
      <c r="H6" s="43" t="inlineStr">
        <is>
          <t>共感・親近感の醸成</t>
        </is>
      </c>
      <c r="I6" s="45" t="n"/>
      <c r="J6" s="31" t="n">
        <v>69</v>
      </c>
      <c r="K6" s="32" t="n">
        <v>52903</v>
      </c>
      <c r="L6" s="32" t="n">
        <v>3671</v>
      </c>
      <c r="M6" s="32" t="n">
        <v>121</v>
      </c>
      <c r="N6" s="32" t="n">
        <v>5951</v>
      </c>
      <c r="O6" s="35">
        <f>IFERROR(K6/N6,"")</f>
        <v/>
      </c>
      <c r="P6" s="37">
        <f>IFERROR(L6/K6,"")</f>
        <v/>
      </c>
      <c r="Q6" s="30" t="n"/>
      <c r="R6" s="41" t="n"/>
      <c r="S6" s="30" t="n"/>
    </row>
    <row r="7" ht="96" customHeight="1" s="51">
      <c r="A7" s="17" t="n">
        <v>3</v>
      </c>
      <c r="B7" s="18" t="n">
        <v>45077</v>
      </c>
      <c r="C7" s="15" t="inlineStr">
        <is>
          <t>https://www.instagram.com/reel/Cs5olkdI9rr/</t>
        </is>
      </c>
      <c r="D7" s="43" t="inlineStr">
        <is>
          <t>リール（動画）</t>
        </is>
      </c>
      <c r="E7" s="43" t="inlineStr">
        <is>
          <t>教育</t>
        </is>
      </c>
      <c r="F7" s="30" t="inlineStr">
        <is>
          <t>英語の口語短縮形（gonna/wanna等）</t>
        </is>
      </c>
      <c r="G7" s="43" t="inlineStr">
        <is>
          <t>ハウツー・解説（教える）</t>
        </is>
      </c>
      <c r="H7" s="43" t="inlineStr">
        <is>
          <t>教育・啓発</t>
        </is>
      </c>
      <c r="I7" s="30" t="n"/>
      <c r="J7" s="31" t="n">
        <v>24</v>
      </c>
      <c r="K7" s="32" t="n">
        <v>34065</v>
      </c>
      <c r="L7" s="32" t="n">
        <v>1143</v>
      </c>
      <c r="M7" s="32" t="n">
        <v>64</v>
      </c>
      <c r="N7" s="32" t="n">
        <v>5951</v>
      </c>
      <c r="O7" s="35">
        <f>IFERROR(K7/N7,"")</f>
        <v/>
      </c>
      <c r="P7" s="37">
        <f>IFERROR(L7/K7,"")</f>
        <v/>
      </c>
      <c r="Q7" s="45" t="n"/>
      <c r="R7" s="41" t="n"/>
      <c r="S7" s="30" t="n"/>
    </row>
    <row r="8" ht="96" customHeight="1" s="51">
      <c r="A8" s="17" t="n">
        <v>4</v>
      </c>
      <c r="B8" s="18" t="n">
        <v>45280</v>
      </c>
      <c r="C8" s="15" t="inlineStr">
        <is>
          <t>https://www.instagram.com/reel/C1FIv5byqi7/</t>
        </is>
      </c>
      <c r="D8" s="43" t="inlineStr">
        <is>
          <t>リール（動画）</t>
        </is>
      </c>
      <c r="E8" s="43" t="inlineStr">
        <is>
          <t>その他</t>
        </is>
      </c>
      <c r="F8" s="30" t="inlineStr">
        <is>
          <t>キルギスからタイへチャパン（民族衣装）を贈る</t>
        </is>
      </c>
      <c r="G8" s="43" t="inlineStr">
        <is>
          <t>舞台裏（Behind the scenes）</t>
        </is>
      </c>
      <c r="H8" s="43" t="inlineStr">
        <is>
          <t>認知拡大（知ってもらう）</t>
        </is>
      </c>
      <c r="I8" s="30" t="n"/>
      <c r="J8" s="31" t="n">
        <v>12</v>
      </c>
      <c r="K8" s="32" t="n">
        <v>28695</v>
      </c>
      <c r="L8" s="32" t="n">
        <v>323</v>
      </c>
      <c r="M8" s="32" t="n">
        <v>19</v>
      </c>
      <c r="N8" s="32" t="n">
        <v>5951</v>
      </c>
      <c r="O8" s="35">
        <f>IFERROR(K8/N8,"")</f>
        <v/>
      </c>
      <c r="P8" s="37">
        <f>IFERROR(L8/K8,"")</f>
        <v/>
      </c>
      <c r="Q8" s="45" t="n"/>
      <c r="R8" s="41" t="n"/>
      <c r="S8" s="45" t="n"/>
    </row>
    <row r="9" ht="96" customHeight="1" s="51">
      <c r="A9" s="17" t="n">
        <v>5</v>
      </c>
      <c r="B9" s="18" t="n">
        <v>45918</v>
      </c>
      <c r="C9" s="15" t="inlineStr">
        <is>
          <t>https://www.instagram.com/reel/DOviK6_DDqd/</t>
        </is>
      </c>
      <c r="D9" s="43" t="inlineStr">
        <is>
          <t>リール（動画）</t>
        </is>
      </c>
      <c r="E9" s="43" t="inlineStr">
        <is>
          <t>イベント・キャンペーン告知</t>
        </is>
      </c>
      <c r="F9" s="45" t="inlineStr">
        <is>
          <t>UrbanNight フェスティバル</t>
        </is>
      </c>
      <c r="G9" s="43" t="inlineStr">
        <is>
          <t>告知・お知らせのみ</t>
        </is>
      </c>
      <c r="H9" s="43" t="inlineStr">
        <is>
          <t>応募・参加の促進</t>
        </is>
      </c>
      <c r="I9" s="30" t="n"/>
      <c r="J9" s="31" t="n">
        <v>15</v>
      </c>
      <c r="K9" s="32" t="n">
        <v>20214</v>
      </c>
      <c r="L9" s="32" t="n">
        <v>244</v>
      </c>
      <c r="M9" s="32" t="n">
        <v>13</v>
      </c>
      <c r="N9" s="32" t="n">
        <v>5951</v>
      </c>
      <c r="O9" s="35">
        <f>IFERROR(K9/N9,"")</f>
        <v/>
      </c>
      <c r="P9" s="37">
        <f>IFERROR(L9/K9,"")</f>
        <v/>
      </c>
      <c r="Q9" s="45" t="n"/>
      <c r="R9" s="41" t="n"/>
      <c r="S9" s="30" t="n"/>
    </row>
    <row r="10" ht="96" customHeight="1" s="51">
      <c r="A10" s="17" t="n">
        <v>6</v>
      </c>
      <c r="B10" s="18" t="n">
        <v>45306</v>
      </c>
      <c r="C10" s="15" t="inlineStr">
        <is>
          <t>https://www.instagram.com/reel/C2HuTNrIAw5/</t>
        </is>
      </c>
      <c r="D10" s="43" t="inlineStr">
        <is>
          <t>リール（動画）</t>
        </is>
      </c>
      <c r="E10" s="43" t="inlineStr">
        <is>
          <t>現地の文化・暮らし</t>
        </is>
      </c>
      <c r="F10" s="30" t="inlineStr">
        <is>
          <t>カラコルのアシュリャンフー</t>
        </is>
      </c>
      <c r="G10" s="43" t="inlineStr">
        <is>
          <t>受益者・現地の人の声</t>
        </is>
      </c>
      <c r="H10" s="43" t="inlineStr">
        <is>
          <t>コミュニティ形成（ファンとの交流）</t>
        </is>
      </c>
      <c r="I10" s="30" t="n"/>
      <c r="J10" s="31" t="n">
        <v>46</v>
      </c>
      <c r="K10" s="32" t="n">
        <v>19058</v>
      </c>
      <c r="L10" s="32" t="n">
        <v>294</v>
      </c>
      <c r="M10" s="32" t="n">
        <v>39</v>
      </c>
      <c r="N10" s="32" t="n">
        <v>5951</v>
      </c>
      <c r="O10" s="35">
        <f>IFERROR(K10/N10,"")</f>
        <v/>
      </c>
      <c r="P10" s="37">
        <f>IFERROR(L10/K10,"")</f>
        <v/>
      </c>
      <c r="Q10" s="30" t="n"/>
      <c r="R10" s="41" t="n"/>
      <c r="S10" s="30" t="n"/>
    </row>
    <row r="11" ht="96" customHeight="1" s="51">
      <c r="A11" s="17" t="n">
        <v>7</v>
      </c>
      <c r="B11" s="18" t="n">
        <v>46000</v>
      </c>
      <c r="C11" s="15" t="inlineStr">
        <is>
          <t>https://www.instagram.com/reel/DSC7R9CghOE/</t>
        </is>
      </c>
      <c r="D11" s="43" t="inlineStr">
        <is>
          <t>リール（動画）</t>
        </is>
      </c>
      <c r="E11" s="43" t="inlineStr">
        <is>
          <t>募集・採用情報</t>
        </is>
      </c>
      <c r="F11" s="45" t="inlineStr">
        <is>
          <t>20代への呼びかけ</t>
        </is>
      </c>
      <c r="G11" s="43" t="inlineStr">
        <is>
          <t>呼びかけ・CTA中心</t>
        </is>
      </c>
      <c r="H11" s="43" t="inlineStr">
        <is>
          <t>応募・参加の促進</t>
        </is>
      </c>
      <c r="I11" s="30" t="n"/>
      <c r="J11" s="31" t="n">
        <v>12</v>
      </c>
      <c r="K11" s="32" t="n">
        <v>15473</v>
      </c>
      <c r="L11" s="32" t="n">
        <v>440</v>
      </c>
      <c r="M11" s="32" t="n">
        <v>21</v>
      </c>
      <c r="N11" s="32" t="n">
        <v>5951</v>
      </c>
      <c r="O11" s="35">
        <f>IFERROR(K11/N11,"")</f>
        <v/>
      </c>
      <c r="P11" s="37">
        <f>IFERROR(L11/K11,"")</f>
        <v/>
      </c>
      <c r="Q11" s="45" t="n"/>
      <c r="R11" s="41" t="n"/>
      <c r="S11" s="30" t="n"/>
    </row>
    <row r="12" ht="96" customHeight="1" s="51">
      <c r="A12" s="17" t="n">
        <v>8</v>
      </c>
      <c r="B12" s="18" t="n">
        <v>45391</v>
      </c>
      <c r="C12" s="15" t="inlineStr">
        <is>
          <t>https://www.instagram.com/reel/C5icz2UI2cT/</t>
        </is>
      </c>
      <c r="D12" s="43" t="inlineStr">
        <is>
          <t>リール（動画）</t>
        </is>
      </c>
      <c r="E12" s="43" t="inlineStr">
        <is>
          <t>現地の文化・暮らし</t>
        </is>
      </c>
      <c r="F12" s="30" t="inlineStr">
        <is>
          <t>「私はナリン出身…」ナリン州の紹介</t>
        </is>
      </c>
      <c r="G12" s="43" t="inlineStr">
        <is>
          <t>クイズ・穴埋め形式</t>
        </is>
      </c>
      <c r="H12" s="43" t="inlineStr">
        <is>
          <t>コミュニティ形成（ファンとの交流）</t>
        </is>
      </c>
      <c r="I12" s="30" t="n"/>
      <c r="J12" s="31" t="n">
        <v>53</v>
      </c>
      <c r="K12" s="32" t="n">
        <v>12706</v>
      </c>
      <c r="L12" s="32" t="n">
        <v>652</v>
      </c>
      <c r="M12" s="32" t="n">
        <v>75</v>
      </c>
      <c r="N12" s="32" t="n">
        <v>5951</v>
      </c>
      <c r="O12" s="35">
        <f>IFERROR(K12/N12,"")</f>
        <v/>
      </c>
      <c r="P12" s="37">
        <f>IFERROR(L12/K12,"")</f>
        <v/>
      </c>
      <c r="Q12" s="30" t="n"/>
      <c r="R12" s="41" t="n"/>
      <c r="S12" s="30" t="n"/>
    </row>
    <row r="13" ht="96" customHeight="1" s="51">
      <c r="A13" s="17" t="n">
        <v>9</v>
      </c>
      <c r="B13" s="18" t="n">
        <v>45918</v>
      </c>
      <c r="C13" s="15" t="inlineStr">
        <is>
          <t>https://www.instagram.com/reel/DOv-l5CgjPQ/</t>
        </is>
      </c>
      <c r="D13" s="43" t="inlineStr">
        <is>
          <t>リール（動画）</t>
        </is>
      </c>
      <c r="E13" s="43" t="inlineStr">
        <is>
          <t>教育</t>
        </is>
      </c>
      <c r="F13" s="30" t="inlineStr">
        <is>
          <t>米国留学・キャリアセミナー</t>
        </is>
      </c>
      <c r="G13" s="43" t="inlineStr">
        <is>
          <t>ハウツー・解説（教える）</t>
        </is>
      </c>
      <c r="H13" s="43" t="inlineStr">
        <is>
          <t>応募・参加の促進</t>
        </is>
      </c>
      <c r="I13" s="30" t="n"/>
      <c r="J13" s="31" t="n">
        <v>40</v>
      </c>
      <c r="K13" s="32" t="n">
        <v>10840</v>
      </c>
      <c r="L13" s="32" t="n">
        <v>213</v>
      </c>
      <c r="M13" s="32" t="n">
        <v>14</v>
      </c>
      <c r="N13" s="32" t="n">
        <v>5951</v>
      </c>
      <c r="O13" s="35">
        <f>IFERROR(K13/N13,"")</f>
        <v/>
      </c>
      <c r="P13" s="37">
        <f>IFERROR(L13/K13,"")</f>
        <v/>
      </c>
      <c r="Q13" s="30" t="n"/>
      <c r="R13" s="41" t="n"/>
      <c r="S13" s="30" t="n"/>
    </row>
    <row r="14" ht="96" customHeight="1" s="51">
      <c r="A14" s="17" t="n">
        <v>10</v>
      </c>
      <c r="B14" s="18" t="n">
        <v>45453</v>
      </c>
      <c r="C14" s="15" t="inlineStr">
        <is>
          <t>https://www.instagram.com/reel/C8CTD7xICfk/</t>
        </is>
      </c>
      <c r="D14" s="43" t="inlineStr">
        <is>
          <t>リール（動画）</t>
        </is>
      </c>
      <c r="E14" s="43" t="inlineStr">
        <is>
          <t>ボランティア／派遣隊員</t>
        </is>
      </c>
      <c r="F14" s="30" t="inlineStr">
        <is>
          <t>新隊員22名の到着</t>
        </is>
      </c>
      <c r="G14" s="43" t="inlineStr">
        <is>
          <t>告知・お知らせのみ</t>
        </is>
      </c>
      <c r="H14" s="43" t="inlineStr">
        <is>
          <t>認知拡大（知ってもらう）</t>
        </is>
      </c>
      <c r="I14" s="30" t="n"/>
      <c r="J14" s="31" t="n">
        <v>12</v>
      </c>
      <c r="K14" s="32" t="n">
        <v>10119</v>
      </c>
      <c r="L14" s="32" t="n">
        <v>375</v>
      </c>
      <c r="M14" s="32" t="n">
        <v>42</v>
      </c>
      <c r="N14" s="32" t="n">
        <v>5951</v>
      </c>
      <c r="O14" s="35">
        <f>IFERROR(K14/N14,"")</f>
        <v/>
      </c>
      <c r="P14" s="37">
        <f>IFERROR(L14/K14,"")</f>
        <v/>
      </c>
      <c r="Q14" s="30" t="n"/>
      <c r="R14" s="41" t="n"/>
      <c r="S14" s="30" t="n"/>
    </row>
    <row r="15" ht="96" customHeight="1" s="51">
      <c r="A15" s="17" t="n">
        <v>11</v>
      </c>
      <c r="B15" s="18" t="n">
        <v>45079</v>
      </c>
      <c r="C15" s="15" t="inlineStr">
        <is>
          <t>https://www.instagram.com/reel/Cs-v4rFopFZ/</t>
        </is>
      </c>
      <c r="D15" s="43" t="inlineStr">
        <is>
          <t>リール（動画）</t>
        </is>
      </c>
      <c r="E15" s="43" t="inlineStr">
        <is>
          <t>ボランティア／派遣隊員</t>
        </is>
      </c>
      <c r="F15" s="30" t="inlineStr">
        <is>
          <t>元隊員が8年ぶりに再訪、キルギス語で歌う</t>
        </is>
      </c>
      <c r="G15" s="43" t="inlineStr">
        <is>
          <t>個人の物語（1人称の語り）</t>
        </is>
      </c>
      <c r="H15" s="43" t="inlineStr">
        <is>
          <t>共感・親近感の醸成</t>
        </is>
      </c>
      <c r="I15" s="30" t="n"/>
      <c r="J15" s="31" t="n">
        <v>90</v>
      </c>
      <c r="K15" s="32" t="n">
        <v>9897</v>
      </c>
      <c r="L15" s="32" t="n">
        <v>587</v>
      </c>
      <c r="M15" s="32" t="n">
        <v>61</v>
      </c>
      <c r="N15" s="32" t="n">
        <v>5951</v>
      </c>
      <c r="O15" s="35">
        <f>IFERROR(K15/N15,"")</f>
        <v/>
      </c>
      <c r="P15" s="37">
        <f>IFERROR(L15/K15,"")</f>
        <v/>
      </c>
      <c r="Q15" s="30" t="n"/>
      <c r="R15" s="41" t="n"/>
      <c r="S15" s="30" t="n"/>
    </row>
    <row r="16" ht="96" customHeight="1" s="51">
      <c r="A16" s="17" t="n">
        <v>12</v>
      </c>
      <c r="B16" s="18" t="n">
        <v>45672</v>
      </c>
      <c r="C16" s="15" t="inlineStr">
        <is>
          <t>https://www.instagram.com/reel/DE1dg33g5po/</t>
        </is>
      </c>
      <c r="D16" s="43" t="inlineStr">
        <is>
          <t>リール（動画）</t>
        </is>
      </c>
      <c r="E16" s="43" t="inlineStr">
        <is>
          <t>教育</t>
        </is>
      </c>
      <c r="F16" s="30" t="inlineStr">
        <is>
          <t>隊員ナオミと現地教員グルザットの協働</t>
        </is>
      </c>
      <c r="G16" s="43" t="inlineStr">
        <is>
          <t>密着ドキュメント（1日の流れ）</t>
        </is>
      </c>
      <c r="H16" s="43" t="inlineStr">
        <is>
          <t>事業内容の理解促進</t>
        </is>
      </c>
      <c r="I16" s="30" t="n"/>
      <c r="J16" s="31" t="n">
        <v>28</v>
      </c>
      <c r="K16" s="32" t="n">
        <v>8945</v>
      </c>
      <c r="L16" s="32" t="n">
        <v>150</v>
      </c>
      <c r="M16" s="32" t="n">
        <v>9</v>
      </c>
      <c r="N16" s="32" t="n">
        <v>5951</v>
      </c>
      <c r="O16" s="35">
        <f>IFERROR(K16/N16,"")</f>
        <v/>
      </c>
      <c r="P16" s="37">
        <f>IFERROR(L16/K16,"")</f>
        <v/>
      </c>
      <c r="Q16" s="30" t="n"/>
      <c r="R16" s="41" t="n"/>
      <c r="S16" s="30" t="n"/>
    </row>
    <row r="17" ht="96" customHeight="1" s="51">
      <c r="A17" s="17" t="n">
        <v>13</v>
      </c>
      <c r="B17" s="18" t="n">
        <v>45261</v>
      </c>
      <c r="C17" s="15" t="inlineStr">
        <is>
          <t>https://www.instagram.com/reel/C0UfnR8MCUS/</t>
        </is>
      </c>
      <c r="D17" s="43" t="inlineStr">
        <is>
          <t>リール（動画）</t>
        </is>
      </c>
      <c r="E17" s="43" t="inlineStr">
        <is>
          <t>その他</t>
        </is>
      </c>
      <c r="F17" s="45" t="inlineStr">
        <is>
          <t>#CeilingChallenge に参加</t>
        </is>
      </c>
      <c r="G17" s="43" t="inlineStr">
        <is>
          <t>トレンド音源・ミーム便乗</t>
        </is>
      </c>
      <c r="H17" s="43" t="inlineStr">
        <is>
          <t>認知拡大（知ってもらう）</t>
        </is>
      </c>
      <c r="I17" s="30" t="n"/>
      <c r="J17" s="31" t="n">
        <v>12</v>
      </c>
      <c r="K17" s="32" t="n">
        <v>7955</v>
      </c>
      <c r="L17" s="32" t="n">
        <v>234</v>
      </c>
      <c r="M17" s="32" t="n">
        <v>10</v>
      </c>
      <c r="N17" s="32" t="n">
        <v>5951</v>
      </c>
      <c r="O17" s="35">
        <f>IFERROR(K17/N17,"")</f>
        <v/>
      </c>
      <c r="P17" s="37">
        <f>IFERROR(L17/K17,"")</f>
        <v/>
      </c>
      <c r="Q17" s="30" t="n"/>
      <c r="R17" s="41" t="n"/>
      <c r="S17" s="30" t="n"/>
    </row>
    <row r="18" ht="96" customHeight="1" s="51">
      <c r="A18" s="17" t="n">
        <v>14</v>
      </c>
      <c r="B18" s="18" t="n">
        <v>45094</v>
      </c>
      <c r="C18" s="15" t="inlineStr">
        <is>
          <t>https://www.instagram.com/reel/CtlbFNUITxR/</t>
        </is>
      </c>
      <c r="D18" s="43" t="inlineStr">
        <is>
          <t>リール（動画）</t>
        </is>
      </c>
      <c r="E18" s="43" t="inlineStr">
        <is>
          <t>現地の文化・暮らし</t>
        </is>
      </c>
      <c r="F18" s="30" t="inlineStr">
        <is>
          <t>隊員が初めてクルットを食べる</t>
        </is>
      </c>
      <c r="G18" s="43" t="inlineStr">
        <is>
          <t>あるある・ネタ／ユーモア</t>
        </is>
      </c>
      <c r="H18" s="43" t="inlineStr">
        <is>
          <t>コミュニティ形成（ファンとの交流）</t>
        </is>
      </c>
      <c r="I18" s="30" t="n"/>
      <c r="J18" s="31" t="n">
        <v>107</v>
      </c>
      <c r="K18" s="32" t="n">
        <v>7916</v>
      </c>
      <c r="L18" s="32" t="n">
        <v>374</v>
      </c>
      <c r="M18" s="32" t="n">
        <v>39</v>
      </c>
      <c r="N18" s="32" t="n">
        <v>5951</v>
      </c>
      <c r="O18" s="35">
        <f>IFERROR(K18/N18,"")</f>
        <v/>
      </c>
      <c r="P18" s="37">
        <f>IFERROR(L18/K18,"")</f>
        <v/>
      </c>
      <c r="Q18" s="30" t="n"/>
      <c r="R18" s="41" t="n"/>
      <c r="S18" s="30" t="n"/>
    </row>
    <row r="19" ht="96" customHeight="1" s="51">
      <c r="A19" s="17" t="n">
        <v>15</v>
      </c>
      <c r="B19" s="18" t="n">
        <v>45503</v>
      </c>
      <c r="C19" s="15" t="inlineStr">
        <is>
          <t>https://www.instagram.com/reel/C-DSzcaIp4_/</t>
        </is>
      </c>
      <c r="D19" s="43" t="inlineStr">
        <is>
          <t>リール（動画）</t>
        </is>
      </c>
      <c r="E19" s="43" t="inlineStr">
        <is>
          <t>募集・採用情報</t>
        </is>
      </c>
      <c r="F19" s="30" t="inlineStr">
        <is>
          <t>英語教育・エコツーリズム分野の募集</t>
        </is>
      </c>
      <c r="G19" s="43" t="inlineStr">
        <is>
          <t>呼びかけ・CTA中心</t>
        </is>
      </c>
      <c r="H19" s="43" t="inlineStr">
        <is>
          <t>採用・人材確保</t>
        </is>
      </c>
      <c r="I19" s="30" t="n"/>
      <c r="J19" s="31" t="n">
        <v>9</v>
      </c>
      <c r="K19" s="32" t="n">
        <v>7786</v>
      </c>
      <c r="L19" s="32" t="n">
        <v>275</v>
      </c>
      <c r="M19" s="32" t="n">
        <v>16</v>
      </c>
      <c r="N19" s="32" t="n">
        <v>5951</v>
      </c>
      <c r="O19" s="35">
        <f>IFERROR(K19/N19,"")</f>
        <v/>
      </c>
      <c r="P19" s="37">
        <f>IFERROR(L19/K19,"")</f>
        <v/>
      </c>
      <c r="Q19" s="45" t="n"/>
      <c r="R19" s="41" t="n"/>
      <c r="S19" s="30" t="n"/>
    </row>
    <row r="20" ht="96" customHeight="1" s="51">
      <c r="A20" s="17" t="n">
        <v>16</v>
      </c>
      <c r="B20" s="18" t="n">
        <v>45306</v>
      </c>
      <c r="C20" s="15" t="inlineStr">
        <is>
          <t>https://www.instagram.com/reel/C2G2pXlIlVM/</t>
        </is>
      </c>
      <c r="D20" s="43" t="inlineStr">
        <is>
          <t>リール（動画）</t>
        </is>
      </c>
      <c r="E20" s="43" t="inlineStr">
        <is>
          <t>ボランティア／派遣隊員</t>
        </is>
      </c>
      <c r="F20" s="30" t="inlineStr">
        <is>
          <t>エコツーリズム専門隊員7名が着任</t>
        </is>
      </c>
      <c r="G20" s="43" t="inlineStr">
        <is>
          <t>告知・お知らせのみ</t>
        </is>
      </c>
      <c r="H20" s="43" t="inlineStr">
        <is>
          <t>事業内容の理解促進</t>
        </is>
      </c>
      <c r="I20" s="30" t="n"/>
      <c r="J20" s="31" t="n">
        <v>17</v>
      </c>
      <c r="K20" s="32" t="n">
        <v>7463</v>
      </c>
      <c r="L20" s="32" t="n">
        <v>249</v>
      </c>
      <c r="M20" s="32" t="n">
        <v>50</v>
      </c>
      <c r="N20" s="32" t="n">
        <v>5951</v>
      </c>
      <c r="O20" s="35">
        <f>IFERROR(K20/N20,"")</f>
        <v/>
      </c>
      <c r="P20" s="37">
        <f>IFERROR(L20/K20,"")</f>
        <v/>
      </c>
      <c r="Q20" s="30" t="n"/>
      <c r="R20" s="41" t="n"/>
      <c r="S20" s="30" t="n"/>
    </row>
    <row r="21" ht="96" customHeight="1" s="51">
      <c r="A21" s="17" t="n">
        <v>17</v>
      </c>
      <c r="B21" s="18" t="n">
        <v>45909</v>
      </c>
      <c r="C21" s="15" t="inlineStr">
        <is>
          <t>https://www.instagram.com/reel/DOYeUA9Akak/</t>
        </is>
      </c>
      <c r="D21" s="43" t="inlineStr">
        <is>
          <t>リール（動画）</t>
        </is>
      </c>
      <c r="E21" s="43" t="inlineStr">
        <is>
          <t>ボランティア／派遣隊員</t>
        </is>
      </c>
      <c r="F21" s="30" t="inlineStr">
        <is>
          <t>隊員キャサリンの1日</t>
        </is>
      </c>
      <c r="G21" s="43" t="inlineStr">
        <is>
          <t>現地の日常vlog</t>
        </is>
      </c>
      <c r="H21" s="43" t="inlineStr">
        <is>
          <t>共感・親近感の醸成</t>
        </is>
      </c>
      <c r="I21" s="30" t="n"/>
      <c r="J21" s="31" t="n">
        <v>22</v>
      </c>
      <c r="K21" s="32" t="n">
        <v>7434</v>
      </c>
      <c r="L21" s="32" t="n">
        <v>270</v>
      </c>
      <c r="M21" s="32" t="n">
        <v>25</v>
      </c>
      <c r="N21" s="32" t="n">
        <v>5951</v>
      </c>
      <c r="O21" s="35">
        <f>IFERROR(K21/N21,"")</f>
        <v/>
      </c>
      <c r="P21" s="37">
        <f>IFERROR(L21/K21,"")</f>
        <v/>
      </c>
      <c r="Q21" s="30" t="n"/>
      <c r="R21" s="41" t="n"/>
      <c r="S21" s="30" t="n"/>
    </row>
    <row r="22" ht="96" customHeight="1" s="51">
      <c r="A22" s="17" t="n">
        <v>18</v>
      </c>
      <c r="B22" s="18" t="n">
        <v>45917</v>
      </c>
      <c r="C22" s="15" t="inlineStr">
        <is>
          <t>https://www.instagram.com/reel/DOtK-CUAmnw/</t>
        </is>
      </c>
      <c r="D22" s="43" t="inlineStr">
        <is>
          <t>リール（動画）</t>
        </is>
      </c>
      <c r="E22" s="43" t="inlineStr">
        <is>
          <t>募集・採用情報</t>
        </is>
      </c>
      <c r="F22" s="30" t="inlineStr">
        <is>
          <t>活動の意義と募集</t>
        </is>
      </c>
      <c r="G22" s="43" t="inlineStr">
        <is>
          <t>呼びかけ・CTA中心</t>
        </is>
      </c>
      <c r="H22" s="43" t="inlineStr">
        <is>
          <t>採用・人材確保</t>
        </is>
      </c>
      <c r="I22" s="30" t="n"/>
      <c r="J22" s="31" t="n">
        <v>8</v>
      </c>
      <c r="K22" s="32" t="n">
        <v>7229</v>
      </c>
      <c r="L22" s="32" t="n">
        <v>205</v>
      </c>
      <c r="M22" s="32" t="n">
        <v>6</v>
      </c>
      <c r="N22" s="32" t="n">
        <v>5951</v>
      </c>
      <c r="O22" s="35">
        <f>IFERROR(K22/N22,"")</f>
        <v/>
      </c>
      <c r="P22" s="37">
        <f>IFERROR(L22/K22,"")</f>
        <v/>
      </c>
      <c r="Q22" s="45" t="n"/>
      <c r="R22" s="41" t="n"/>
      <c r="S22" s="30" t="n"/>
    </row>
    <row r="23" ht="96" customHeight="1" s="51">
      <c r="A23" s="17" t="n">
        <v>19</v>
      </c>
      <c r="B23" s="18" t="n">
        <v>45980</v>
      </c>
      <c r="C23" s="15" t="inlineStr">
        <is>
          <t>https://www.instagram.com/reel/DRPU1spAsYB/</t>
        </is>
      </c>
      <c r="D23" s="43" t="inlineStr">
        <is>
          <t>リール（動画）</t>
        </is>
      </c>
      <c r="E23" s="43" t="inlineStr">
        <is>
          <t>ボランティア／派遣隊員</t>
        </is>
      </c>
      <c r="F23" s="30" t="inlineStr">
        <is>
          <t>帰国隊員ゾーイ（オシュ州）</t>
        </is>
      </c>
      <c r="G23" s="43" t="inlineStr">
        <is>
          <t>個人の物語（1人称の語り）</t>
        </is>
      </c>
      <c r="H23" s="43" t="inlineStr">
        <is>
          <t>共感・親近感の醸成</t>
        </is>
      </c>
      <c r="I23" s="30" t="n"/>
      <c r="J23" s="31" t="n">
        <v>39</v>
      </c>
      <c r="K23" s="32" t="n">
        <v>7201</v>
      </c>
      <c r="L23" s="32" t="n">
        <v>319</v>
      </c>
      <c r="M23" s="32" t="n">
        <v>19</v>
      </c>
      <c r="N23" s="32" t="n">
        <v>5951</v>
      </c>
      <c r="O23" s="35">
        <f>IFERROR(K23/N23,"")</f>
        <v/>
      </c>
      <c r="P23" s="37">
        <f>IFERROR(L23/K23,"")</f>
        <v/>
      </c>
      <c r="Q23" s="45" t="n"/>
      <c r="R23" s="41" t="n"/>
      <c r="S23" s="30" t="n"/>
    </row>
    <row r="24" ht="96" customHeight="1" s="51">
      <c r="A24" s="17" t="n">
        <v>20</v>
      </c>
      <c r="B24" s="18" t="n">
        <v>46194</v>
      </c>
      <c r="C24" s="15" t="inlineStr">
        <is>
          <t>https://www.instagram.com/reel/DZ2YUqNlfk2/</t>
        </is>
      </c>
      <c r="D24" s="43" t="inlineStr">
        <is>
          <t>リール（動画）</t>
        </is>
      </c>
      <c r="E24" s="43" t="inlineStr">
        <is>
          <t>現地の文化・暮らし</t>
        </is>
      </c>
      <c r="F24" s="30" t="inlineStr">
        <is>
          <t>父の日／ホストファーザーのアナルベク</t>
        </is>
      </c>
      <c r="G24" s="43" t="inlineStr">
        <is>
          <t>第三者による人物紹介</t>
        </is>
      </c>
      <c r="H24" s="43" t="inlineStr">
        <is>
          <t>共感・親近感の醸成</t>
        </is>
      </c>
      <c r="I24" s="30" t="n"/>
      <c r="J24" s="31" t="n">
        <v>35</v>
      </c>
      <c r="K24" s="32" t="n">
        <v>6701</v>
      </c>
      <c r="L24" s="32" t="n">
        <v>219</v>
      </c>
      <c r="M24" s="32" t="n">
        <v>11</v>
      </c>
      <c r="N24" s="32" t="n">
        <v>5951</v>
      </c>
      <c r="O24" s="35">
        <f>IFERROR(K24/N24,"")</f>
        <v/>
      </c>
      <c r="P24" s="37">
        <f>IFERROR(L24/K24,"")</f>
        <v/>
      </c>
      <c r="Q24" s="30" t="n"/>
      <c r="R24" s="41" t="n"/>
      <c r="S24" s="30" t="n"/>
    </row>
    <row r="25" ht="15.75" customHeight="1" s="51"/>
    <row r="26" ht="15.75" customHeight="1" s="51">
      <c r="I26" s="46" t="inlineStr">
        <is>
          <t>上位20件の平均 →</t>
        </is>
      </c>
      <c r="J26" s="47">
        <f>IFERROR(AVERAGE(J5:J24),"")</f>
        <v/>
      </c>
      <c r="K26" s="48">
        <f>IFERROR(AVERAGE(K5:K24),"")</f>
        <v/>
      </c>
      <c r="L26" s="48">
        <f>IFERROR(AVERAGE(L5:L24),"")</f>
        <v/>
      </c>
      <c r="M26" s="48">
        <f>IFERROR(AVERAGE(M5:M24),"")</f>
        <v/>
      </c>
      <c r="O26" s="49">
        <f>IFERROR(AVERAGE(O5:O24),"")</f>
        <v/>
      </c>
      <c r="P26" s="50">
        <f>IFERROR(AVERAGE(P5:P24),"")</f>
        <v/>
      </c>
    </row>
    <row r="27" ht="15.75" customHeight="1" s="51"/>
    <row r="28" ht="15.75" customHeight="1" s="51"/>
    <row r="29" ht="15.75" customHeight="1" s="51"/>
    <row r="30" ht="15.75" customHeight="1" s="51"/>
    <row r="31" ht="15.75" customHeight="1" s="51"/>
    <row r="32" ht="15.75" customHeight="1" s="51"/>
    <row r="33" ht="15.75" customHeight="1" s="51"/>
    <row r="34" ht="15.75" customHeight="1" s="51"/>
    <row r="35" ht="15.75" customHeight="1" s="51"/>
    <row r="36" ht="15.75" customHeight="1" s="51"/>
    <row r="37" ht="15.75" customHeight="1" s="51"/>
    <row r="38" ht="15.75" customHeight="1" s="51"/>
    <row r="39" ht="15.75" customHeight="1" s="51"/>
    <row r="40" ht="15.75" customHeight="1" s="51"/>
    <row r="41" ht="15.75" customHeight="1" s="51"/>
    <row r="42" ht="15.75" customHeight="1" s="51"/>
    <row r="43" ht="15.75" customHeight="1" s="51"/>
    <row r="44" ht="15.75" customHeight="1" s="51"/>
    <row r="45" ht="15.75" customHeight="1" s="51"/>
    <row r="46" ht="15.75" customHeight="1" s="51"/>
    <row r="47" ht="15.75" customHeight="1" s="51"/>
    <row r="48" ht="15.75" customHeight="1" s="51"/>
    <row r="49" ht="15.75" customHeight="1" s="51"/>
    <row r="50" ht="15.75" customHeight="1" s="51"/>
    <row r="51" ht="15.75" customHeight="1" s="51"/>
    <row r="52" ht="15.75" customHeight="1" s="51"/>
    <row r="53" ht="15.75" customHeight="1" s="51"/>
    <row r="54" ht="15.75" customHeight="1" s="51"/>
    <row r="55" ht="15.75" customHeight="1" s="51"/>
    <row r="56" ht="15.75" customHeight="1" s="51"/>
    <row r="57" ht="15.75" customHeight="1" s="51"/>
    <row r="58" ht="15.75" customHeight="1" s="51"/>
    <row r="59" ht="15.75" customHeight="1" s="51"/>
    <row r="60" ht="15.75" customHeight="1" s="51"/>
    <row r="61" ht="15.75" customHeight="1" s="51"/>
    <row r="62" ht="15.75" customHeight="1" s="51"/>
    <row r="63" ht="15.75" customHeight="1" s="51"/>
    <row r="64" ht="15.75" customHeight="1" s="51"/>
    <row r="65" ht="15.75" customHeight="1" s="51"/>
    <row r="66" ht="15.75" customHeight="1" s="51"/>
    <row r="67" ht="15.75" customHeight="1" s="51"/>
    <row r="68" ht="15.75" customHeight="1" s="51"/>
    <row r="69" ht="15.75" customHeight="1" s="51"/>
    <row r="70" ht="15.75" customHeight="1" s="51"/>
    <row r="71" ht="15.75" customHeight="1" s="51"/>
    <row r="72" ht="15.75" customHeight="1" s="51"/>
    <row r="73" ht="15.75" customHeight="1" s="51"/>
    <row r="74" ht="15.75" customHeight="1" s="51"/>
    <row r="75" ht="15.75" customHeight="1" s="51"/>
    <row r="76" ht="15.75" customHeight="1" s="51"/>
    <row r="77" ht="15.75" customHeight="1" s="51"/>
    <row r="78" ht="15.75" customHeight="1" s="51"/>
    <row r="79" ht="15.75" customHeight="1" s="51"/>
    <row r="80" ht="15.75" customHeight="1" s="51"/>
    <row r="81" ht="15.75" customHeight="1" s="51"/>
    <row r="82" ht="15.75" customHeight="1" s="51"/>
    <row r="83" ht="15.75" customHeight="1" s="51"/>
    <row r="84" ht="15.75" customHeight="1" s="51"/>
    <row r="85" ht="15.75" customHeight="1" s="51"/>
    <row r="86" ht="15.75" customHeight="1" s="51"/>
    <row r="87" ht="15.75" customHeight="1" s="51"/>
    <row r="88" ht="15.75" customHeight="1" s="51"/>
    <row r="89" ht="15.75" customHeight="1" s="51"/>
    <row r="90" ht="15.75" customHeight="1" s="51"/>
    <row r="91" ht="15.75" customHeight="1" s="51"/>
    <row r="92" ht="15.75" customHeight="1" s="51"/>
    <row r="93" ht="15.75" customHeight="1" s="51"/>
    <row r="94" ht="15.75" customHeight="1" s="51"/>
    <row r="95" ht="15.75" customHeight="1" s="51"/>
    <row r="96" ht="15.75" customHeight="1" s="51"/>
    <row r="97" ht="15.75" customHeight="1" s="51"/>
    <row r="98" ht="15.75" customHeight="1" s="51"/>
    <row r="99" ht="15.75" customHeight="1" s="51"/>
    <row r="100" ht="15.75" customHeight="1" s="51"/>
    <row r="101" ht="15.75" customHeight="1" s="51"/>
    <row r="102" ht="15.75" customHeight="1" s="51"/>
    <row r="103" ht="15.75" customHeight="1" s="51"/>
    <row r="104" ht="15.75" customHeight="1" s="51"/>
    <row r="105" ht="15.75" customHeight="1" s="51"/>
    <row r="106" ht="15.75" customHeight="1" s="51"/>
    <row r="107" ht="15.75" customHeight="1" s="51"/>
    <row r="108" ht="15.75" customHeight="1" s="51"/>
    <row r="109" ht="15.75" customHeight="1" s="51"/>
    <row r="110" ht="15.75" customHeight="1" s="51"/>
    <row r="111" ht="15.75" customHeight="1" s="51"/>
    <row r="112" ht="15.75" customHeight="1" s="51"/>
    <row r="113" ht="15.75" customHeight="1" s="51"/>
    <row r="114" ht="15.75" customHeight="1" s="51"/>
    <row r="115" ht="15.75" customHeight="1" s="51"/>
    <row r="116" ht="15.75" customHeight="1" s="51"/>
    <row r="117" ht="15.75" customHeight="1" s="51"/>
    <row r="118" ht="15.75" customHeight="1" s="51"/>
    <row r="119" ht="15.75" customHeight="1" s="51"/>
    <row r="120" ht="15.75" customHeight="1" s="51"/>
    <row r="121" ht="15.75" customHeight="1" s="51"/>
    <row r="122" ht="15.75" customHeight="1" s="51"/>
    <row r="123" ht="15.75" customHeight="1" s="51"/>
    <row r="124" ht="15.75" customHeight="1" s="51"/>
    <row r="125" ht="15.75" customHeight="1" s="51"/>
    <row r="126" ht="15.75" customHeight="1" s="51"/>
    <row r="127" ht="15.75" customHeight="1" s="51"/>
    <row r="128" ht="15.75" customHeight="1" s="51"/>
    <row r="129" ht="15.75" customHeight="1" s="51"/>
    <row r="130" ht="15.75" customHeight="1" s="51"/>
    <row r="131" ht="15.75" customHeight="1" s="51"/>
    <row r="132" ht="15.75" customHeight="1" s="51"/>
    <row r="133" ht="15.75" customHeight="1" s="51"/>
    <row r="134" ht="15.75" customHeight="1" s="51"/>
    <row r="135" ht="15.75" customHeight="1" s="51"/>
    <row r="136" ht="15.75" customHeight="1" s="51"/>
    <row r="137" ht="15.75" customHeight="1" s="51"/>
    <row r="138" ht="15.75" customHeight="1" s="51"/>
    <row r="139" ht="15.75" customHeight="1" s="51"/>
    <row r="140" ht="15.75" customHeight="1" s="51"/>
    <row r="141" ht="15.75" customHeight="1" s="51"/>
    <row r="142" ht="15.75" customHeight="1" s="51"/>
    <row r="143" ht="15.75" customHeight="1" s="51"/>
    <row r="144" ht="15.75" customHeight="1" s="51"/>
    <row r="145" ht="15.75" customHeight="1" s="51"/>
    <row r="146" ht="15.75" customHeight="1" s="51"/>
    <row r="147" ht="15.75" customHeight="1" s="51"/>
    <row r="148" ht="15.75" customHeight="1" s="51"/>
    <row r="149" ht="15.75" customHeight="1" s="51"/>
    <row r="150" ht="15.75" customHeight="1" s="51"/>
    <row r="151" ht="15.75" customHeight="1" s="51"/>
    <row r="152" ht="15.75" customHeight="1" s="51"/>
    <row r="153" ht="15.75" customHeight="1" s="51"/>
    <row r="154" ht="15.75" customHeight="1" s="51"/>
    <row r="155" ht="15.75" customHeight="1" s="51"/>
    <row r="156" ht="15.75" customHeight="1" s="51"/>
    <row r="157" ht="15.75" customHeight="1" s="51"/>
    <row r="158" ht="15.75" customHeight="1" s="51"/>
    <row r="159" ht="15.75" customHeight="1" s="51"/>
    <row r="160" ht="15.75" customHeight="1" s="51"/>
    <row r="161" ht="15.75" customHeight="1" s="51"/>
    <row r="162" ht="15.75" customHeight="1" s="51"/>
    <row r="163" ht="15.75" customHeight="1" s="51"/>
    <row r="164" ht="15.75" customHeight="1" s="51"/>
    <row r="165" ht="15.75" customHeight="1" s="51"/>
    <row r="166" ht="15.75" customHeight="1" s="51"/>
    <row r="167" ht="15.75" customHeight="1" s="51"/>
    <row r="168" ht="15.75" customHeight="1" s="51"/>
    <row r="169" ht="15.75" customHeight="1" s="51"/>
    <row r="170" ht="15.75" customHeight="1" s="51"/>
    <row r="171" ht="15.75" customHeight="1" s="51"/>
    <row r="172" ht="15.75" customHeight="1" s="51"/>
    <row r="173" ht="15.75" customHeight="1" s="51"/>
    <row r="174" ht="15.75" customHeight="1" s="51"/>
    <row r="175" ht="15.75" customHeight="1" s="51"/>
    <row r="176" ht="15.75" customHeight="1" s="51"/>
    <row r="177" ht="15.75" customHeight="1" s="51"/>
    <row r="178" ht="15.75" customHeight="1" s="51"/>
    <row r="179" ht="15.75" customHeight="1" s="51"/>
    <row r="180" ht="15.75" customHeight="1" s="51"/>
    <row r="181" ht="15.75" customHeight="1" s="51"/>
    <row r="182" ht="15.75" customHeight="1" s="51"/>
    <row r="183" ht="15.75" customHeight="1" s="51"/>
    <row r="184" ht="15.75" customHeight="1" s="51"/>
    <row r="185" ht="15.75" customHeight="1" s="51"/>
    <row r="186" ht="15.75" customHeight="1" s="51"/>
    <row r="187" ht="15.75" customHeight="1" s="51"/>
    <row r="188" ht="15.75" customHeight="1" s="51"/>
    <row r="189" ht="15.75" customHeight="1" s="51"/>
    <row r="190" ht="15.75" customHeight="1" s="51"/>
    <row r="191" ht="15.75" customHeight="1" s="51"/>
    <row r="192" ht="15.75" customHeight="1" s="51"/>
    <row r="193" ht="15.75" customHeight="1" s="51"/>
    <row r="194" ht="15.75" customHeight="1" s="51"/>
    <row r="195" ht="15.75" customHeight="1" s="51"/>
    <row r="196" ht="15.75" customHeight="1" s="51"/>
    <row r="197" ht="15.75" customHeight="1" s="51"/>
    <row r="198" ht="15.75" customHeight="1" s="51"/>
    <row r="199" ht="15.75" customHeight="1" s="51"/>
    <row r="200" ht="15.75" customHeight="1" s="51"/>
    <row r="201" ht="15.75" customHeight="1" s="51"/>
    <row r="202" ht="15.75" customHeight="1" s="51"/>
    <row r="203" ht="15.75" customHeight="1" s="51"/>
    <row r="204" ht="15.75" customHeight="1" s="51"/>
    <row r="205" ht="15.75" customHeight="1" s="51"/>
    <row r="206" ht="15.75" customHeight="1" s="51"/>
    <row r="207" ht="15.75" customHeight="1" s="51"/>
    <row r="208" ht="15.75" customHeight="1" s="51"/>
    <row r="209" ht="15.75" customHeight="1" s="51"/>
    <row r="210" ht="15.75" customHeight="1" s="51"/>
    <row r="211" ht="15.75" customHeight="1" s="51"/>
    <row r="212" ht="15.75" customHeight="1" s="51"/>
    <row r="213" ht="15.75" customHeight="1" s="51"/>
    <row r="214" ht="15.75" customHeight="1" s="51"/>
    <row r="215" ht="15.75" customHeight="1" s="51"/>
    <row r="216" ht="15.75" customHeight="1" s="51"/>
    <row r="217" ht="15.75" customHeight="1" s="51"/>
    <row r="218" ht="15.75" customHeight="1" s="51"/>
    <row r="219" ht="15.75" customHeight="1" s="51"/>
    <row r="220" ht="15.75" customHeight="1" s="51"/>
    <row r="221" ht="15.75" customHeight="1" s="51"/>
    <row r="222" ht="15.75" customHeight="1" s="51"/>
    <row r="223" ht="15.75" customHeight="1" s="51"/>
    <row r="224" ht="15.75" customHeight="1" s="51"/>
    <row r="225" ht="15.75" customHeight="1" s="51"/>
    <row r="226" ht="15.75" customHeight="1" s="51"/>
    <row r="227" ht="15.75" customHeight="1" s="51"/>
    <row r="228" ht="15.75" customHeight="1" s="51"/>
    <row r="229" ht="15.75" customHeight="1" s="51"/>
    <row r="230" ht="15.75" customHeight="1" s="51"/>
    <row r="231" ht="15.75" customHeight="1" s="51"/>
    <row r="232" ht="15.75" customHeight="1" s="51"/>
    <row r="233" ht="15.75" customHeight="1" s="51"/>
    <row r="234" ht="15.75" customHeight="1" s="51"/>
    <row r="235" ht="15.75" customHeight="1" s="51"/>
    <row r="236" ht="15.75" customHeight="1" s="51"/>
    <row r="237" ht="15.75" customHeight="1" s="51"/>
    <row r="238" ht="15.75" customHeight="1" s="51"/>
    <row r="239" ht="15.75" customHeight="1" s="51"/>
    <row r="240" ht="15.75" customHeight="1" s="51"/>
    <row r="241" ht="15.75" customHeight="1" s="51"/>
    <row r="242" ht="15.75" customHeight="1" s="51"/>
    <row r="243" ht="15.75" customHeight="1" s="51"/>
    <row r="244" ht="15.75" customHeight="1" s="51"/>
    <row r="245" ht="15.75" customHeight="1" s="51"/>
    <row r="246" ht="15.75" customHeight="1" s="51"/>
    <row r="247" ht="15.75" customHeight="1" s="51"/>
    <row r="248" ht="15.75" customHeight="1" s="51"/>
    <row r="249" ht="15.75" customHeight="1" s="51"/>
    <row r="250" ht="15.75" customHeight="1" s="51"/>
    <row r="251" ht="15.75" customHeight="1" s="51"/>
    <row r="252" ht="15.75" customHeight="1" s="51"/>
    <row r="253" ht="15.75" customHeight="1" s="51"/>
    <row r="254" ht="15.75" customHeight="1" s="51"/>
    <row r="255" ht="15.75" customHeight="1" s="51"/>
    <row r="256" ht="15.75" customHeight="1" s="51"/>
    <row r="257" ht="15.75" customHeight="1" s="51"/>
    <row r="258" ht="15.75" customHeight="1" s="51"/>
    <row r="259" ht="15.75" customHeight="1" s="51"/>
    <row r="260" ht="15.75" customHeight="1" s="51"/>
    <row r="261" ht="15.75" customHeight="1" s="51"/>
    <row r="262" ht="15.75" customHeight="1" s="51"/>
    <row r="263" ht="15.75" customHeight="1" s="51"/>
    <row r="264" ht="15.75" customHeight="1" s="51"/>
    <row r="265" ht="15.75" customHeight="1" s="51"/>
    <row r="266" ht="15.75" customHeight="1" s="51"/>
    <row r="267" ht="15.75" customHeight="1" s="51"/>
    <row r="268" ht="15.75" customHeight="1" s="51"/>
    <row r="269" ht="15.75" customHeight="1" s="51"/>
    <row r="270" ht="15.75" customHeight="1" s="51"/>
    <row r="271" ht="15.75" customHeight="1" s="51"/>
    <row r="272" ht="15.75" customHeight="1" s="51"/>
    <row r="273" ht="15.75" customHeight="1" s="51"/>
    <row r="274" ht="15.75" customHeight="1" s="51"/>
    <row r="275" ht="15.75" customHeight="1" s="51"/>
    <row r="276" ht="15.75" customHeight="1" s="51"/>
    <row r="277" ht="15.75" customHeight="1" s="51"/>
    <row r="278" ht="15.75" customHeight="1" s="51"/>
    <row r="279" ht="15.75" customHeight="1" s="51"/>
    <row r="280" ht="15.75" customHeight="1" s="51"/>
    <row r="281" ht="15.75" customHeight="1" s="51"/>
    <row r="282" ht="15.75" customHeight="1" s="51"/>
    <row r="283" ht="15.75" customHeight="1" s="51"/>
    <row r="284" ht="15.75" customHeight="1" s="51"/>
    <row r="285" ht="15.75" customHeight="1" s="51"/>
    <row r="286" ht="15.75" customHeight="1" s="51"/>
    <row r="287" ht="15.75" customHeight="1" s="51"/>
    <row r="288" ht="15.75" customHeight="1" s="51"/>
    <row r="289" ht="15.75" customHeight="1" s="51"/>
    <row r="290" ht="15.75" customHeight="1" s="51"/>
    <row r="291" ht="15.75" customHeight="1" s="51"/>
    <row r="292" ht="15.75" customHeight="1" s="51"/>
    <row r="293" ht="15.75" customHeight="1" s="51"/>
    <row r="294" ht="15.75" customHeight="1" s="51"/>
    <row r="295" ht="15.75" customHeight="1" s="51"/>
    <row r="296" ht="15.75" customHeight="1" s="51"/>
    <row r="297" ht="15.75" customHeight="1" s="51"/>
    <row r="298" ht="15.75" customHeight="1" s="51"/>
    <row r="299" ht="15.75" customHeight="1" s="51"/>
    <row r="300" ht="15.75" customHeight="1" s="51"/>
    <row r="301" ht="15.75" customHeight="1" s="51"/>
    <row r="302" ht="15.75" customHeight="1" s="51"/>
    <row r="303" ht="15.75" customHeight="1" s="51"/>
    <row r="304" ht="15.75" customHeight="1" s="51"/>
    <row r="305" ht="15.75" customHeight="1" s="51"/>
    <row r="306" ht="15.75" customHeight="1" s="51"/>
    <row r="307" ht="15.75" customHeight="1" s="51"/>
    <row r="308" ht="15.75" customHeight="1" s="51"/>
    <row r="309" ht="15.75" customHeight="1" s="51"/>
    <row r="310" ht="15.75" customHeight="1" s="51"/>
    <row r="311" ht="15.75" customHeight="1" s="51"/>
    <row r="312" ht="15.75" customHeight="1" s="51"/>
    <row r="313" ht="15.75" customHeight="1" s="51"/>
    <row r="314" ht="15.75" customHeight="1" s="51"/>
    <row r="315" ht="15.75" customHeight="1" s="51"/>
    <row r="316" ht="15.75" customHeight="1" s="51"/>
    <row r="317" ht="15.75" customHeight="1" s="51"/>
    <row r="318" ht="15.75" customHeight="1" s="51"/>
    <row r="319" ht="15.75" customHeight="1" s="51"/>
    <row r="320" ht="15.75" customHeight="1" s="51"/>
    <row r="321" ht="15.75" customHeight="1" s="51"/>
    <row r="322" ht="15.75" customHeight="1" s="51"/>
    <row r="323" ht="15.75" customHeight="1" s="51"/>
    <row r="324" ht="15.75" customHeight="1" s="51"/>
    <row r="325" ht="15.75" customHeight="1" s="51"/>
    <row r="326" ht="15.75" customHeight="1" s="51"/>
    <row r="327" ht="15.75" customHeight="1" s="51"/>
    <row r="328" ht="15.75" customHeight="1" s="51"/>
    <row r="329" ht="15.75" customHeight="1" s="51"/>
    <row r="330" ht="15.75" customHeight="1" s="51"/>
    <row r="331" ht="15.75" customHeight="1" s="51"/>
    <row r="332" ht="15.75" customHeight="1" s="51"/>
    <row r="333" ht="15.75" customHeight="1" s="51"/>
    <row r="334" ht="15.75" customHeight="1" s="51"/>
    <row r="335" ht="15.75" customHeight="1" s="51"/>
    <row r="336" ht="15.75" customHeight="1" s="51"/>
    <row r="337" ht="15.75" customHeight="1" s="51"/>
    <row r="338" ht="15.75" customHeight="1" s="51"/>
    <row r="339" ht="15.75" customHeight="1" s="51"/>
    <row r="340" ht="15.75" customHeight="1" s="51"/>
    <row r="341" ht="15.75" customHeight="1" s="51"/>
    <row r="342" ht="15.75" customHeight="1" s="51"/>
    <row r="343" ht="15.75" customHeight="1" s="51"/>
    <row r="344" ht="15.75" customHeight="1" s="51"/>
    <row r="345" ht="15.75" customHeight="1" s="51"/>
    <row r="346" ht="15.75" customHeight="1" s="51"/>
    <row r="347" ht="15.75" customHeight="1" s="51"/>
    <row r="348" ht="15.75" customHeight="1" s="51"/>
    <row r="349" ht="15.75" customHeight="1" s="51"/>
    <row r="350" ht="15.75" customHeight="1" s="51"/>
    <row r="351" ht="15.75" customHeight="1" s="51"/>
    <row r="352" ht="15.75" customHeight="1" s="51"/>
    <row r="353" ht="15.75" customHeight="1" s="51"/>
    <row r="354" ht="15.75" customHeight="1" s="51"/>
    <row r="355" ht="15.75" customHeight="1" s="51"/>
    <row r="356" ht="15.75" customHeight="1" s="51"/>
    <row r="357" ht="15.75" customHeight="1" s="51"/>
    <row r="358" ht="15.75" customHeight="1" s="51"/>
    <row r="359" ht="15.75" customHeight="1" s="51"/>
    <row r="360" ht="15.75" customHeight="1" s="51"/>
    <row r="361" ht="15.75" customHeight="1" s="51"/>
    <row r="362" ht="15.75" customHeight="1" s="51"/>
    <row r="363" ht="15.75" customHeight="1" s="51"/>
    <row r="364" ht="15.75" customHeight="1" s="51"/>
    <row r="365" ht="15.75" customHeight="1" s="51"/>
    <row r="366" ht="15.75" customHeight="1" s="51"/>
    <row r="367" ht="15.75" customHeight="1" s="51"/>
    <row r="368" ht="15.75" customHeight="1" s="51"/>
    <row r="369" ht="15.75" customHeight="1" s="51"/>
    <row r="370" ht="15.75" customHeight="1" s="51"/>
    <row r="371" ht="15.75" customHeight="1" s="51"/>
    <row r="372" ht="15.75" customHeight="1" s="51"/>
    <row r="373" ht="15.75" customHeight="1" s="51"/>
    <row r="374" ht="15.75" customHeight="1" s="51"/>
    <row r="375" ht="15.75" customHeight="1" s="51"/>
    <row r="376" ht="15.75" customHeight="1" s="51"/>
    <row r="377" ht="15.75" customHeight="1" s="51"/>
    <row r="378" ht="15.75" customHeight="1" s="51"/>
    <row r="379" ht="15.75" customHeight="1" s="51"/>
    <row r="380" ht="15.75" customHeight="1" s="51"/>
    <row r="381" ht="15.75" customHeight="1" s="51"/>
    <row r="382" ht="15.75" customHeight="1" s="51"/>
    <row r="383" ht="15.75" customHeight="1" s="51"/>
    <row r="384" ht="15.75" customHeight="1" s="51"/>
    <row r="385" ht="15.75" customHeight="1" s="51"/>
    <row r="386" ht="15.75" customHeight="1" s="51"/>
    <row r="387" ht="15.75" customHeight="1" s="51"/>
    <row r="388" ht="15.75" customHeight="1" s="51"/>
    <row r="389" ht="15.75" customHeight="1" s="51"/>
    <row r="390" ht="15.75" customHeight="1" s="51"/>
    <row r="391" ht="15.75" customHeight="1" s="51"/>
    <row r="392" ht="15.75" customHeight="1" s="51"/>
    <row r="393" ht="15.75" customHeight="1" s="51"/>
    <row r="394" ht="15.75" customHeight="1" s="51"/>
    <row r="395" ht="15.75" customHeight="1" s="51"/>
    <row r="396" ht="15.75" customHeight="1" s="51"/>
    <row r="397" ht="15.75" customHeight="1" s="51"/>
    <row r="398" ht="15.75" customHeight="1" s="51"/>
    <row r="399" ht="15.75" customHeight="1" s="51"/>
    <row r="400" ht="15.75" customHeight="1" s="51"/>
    <row r="401" ht="15.75" customHeight="1" s="51"/>
    <row r="402" ht="15.75" customHeight="1" s="51"/>
    <row r="403" ht="15.75" customHeight="1" s="51"/>
    <row r="404" ht="15.75" customHeight="1" s="51"/>
    <row r="405" ht="15.75" customHeight="1" s="51"/>
    <row r="406" ht="15.75" customHeight="1" s="51"/>
    <row r="407" ht="15.75" customHeight="1" s="51"/>
    <row r="408" ht="15.75" customHeight="1" s="51"/>
    <row r="409" ht="15.75" customHeight="1" s="51"/>
    <row r="410" ht="15.75" customHeight="1" s="51"/>
    <row r="411" ht="15.75" customHeight="1" s="51"/>
    <row r="412" ht="15.75" customHeight="1" s="51"/>
    <row r="413" ht="15.75" customHeight="1" s="51"/>
    <row r="414" ht="15.75" customHeight="1" s="51"/>
    <row r="415" ht="15.75" customHeight="1" s="51"/>
    <row r="416" ht="15.75" customHeight="1" s="51"/>
    <row r="417" ht="15.75" customHeight="1" s="51"/>
    <row r="418" ht="15.75" customHeight="1" s="51"/>
    <row r="419" ht="15.75" customHeight="1" s="51"/>
    <row r="420" ht="15.75" customHeight="1" s="51"/>
    <row r="421" ht="15.75" customHeight="1" s="51"/>
    <row r="422" ht="15.75" customHeight="1" s="51"/>
    <row r="423" ht="15.75" customHeight="1" s="51"/>
    <row r="424" ht="15.75" customHeight="1" s="51"/>
    <row r="425" ht="15.75" customHeight="1" s="51"/>
    <row r="426" ht="15.75" customHeight="1" s="51"/>
    <row r="427" ht="15.75" customHeight="1" s="51"/>
    <row r="428" ht="15.75" customHeight="1" s="51"/>
    <row r="429" ht="15.75" customHeight="1" s="51"/>
    <row r="430" ht="15.75" customHeight="1" s="51"/>
    <row r="431" ht="15.75" customHeight="1" s="51"/>
    <row r="432" ht="15.75" customHeight="1" s="51"/>
    <row r="433" ht="15.75" customHeight="1" s="51"/>
    <row r="434" ht="15.75" customHeight="1" s="51"/>
    <row r="435" ht="15.75" customHeight="1" s="51"/>
    <row r="436" ht="15.75" customHeight="1" s="51"/>
    <row r="437" ht="15.75" customHeight="1" s="51"/>
    <row r="438" ht="15.75" customHeight="1" s="51"/>
    <row r="439" ht="15.75" customHeight="1" s="51"/>
    <row r="440" ht="15.75" customHeight="1" s="51"/>
    <row r="441" ht="15.75" customHeight="1" s="51"/>
    <row r="442" ht="15.75" customHeight="1" s="51"/>
    <row r="443" ht="15.75" customHeight="1" s="51"/>
    <row r="444" ht="15.75" customHeight="1" s="51"/>
    <row r="445" ht="15.75" customHeight="1" s="51"/>
    <row r="446" ht="15.75" customHeight="1" s="51"/>
    <row r="447" ht="15.75" customHeight="1" s="51"/>
    <row r="448" ht="15.75" customHeight="1" s="51"/>
    <row r="449" ht="15.75" customHeight="1" s="51"/>
    <row r="450" ht="15.75" customHeight="1" s="51"/>
    <row r="451" ht="15.75" customHeight="1" s="51"/>
    <row r="452" ht="15.75" customHeight="1" s="51"/>
    <row r="453" ht="15.75" customHeight="1" s="51"/>
    <row r="454" ht="15.75" customHeight="1" s="51"/>
    <row r="455" ht="15.75" customHeight="1" s="51"/>
    <row r="456" ht="15.75" customHeight="1" s="51"/>
    <row r="457" ht="15.75" customHeight="1" s="51"/>
    <row r="458" ht="15.75" customHeight="1" s="51"/>
    <row r="459" ht="15.75" customHeight="1" s="51"/>
    <row r="460" ht="15.75" customHeight="1" s="51"/>
    <row r="461" ht="15.75" customHeight="1" s="51"/>
    <row r="462" ht="15.75" customHeight="1" s="51"/>
    <row r="463" ht="15.75" customHeight="1" s="51"/>
    <row r="464" ht="15.75" customHeight="1" s="51"/>
    <row r="465" ht="15.75" customHeight="1" s="51"/>
    <row r="466" ht="15.75" customHeight="1" s="51"/>
    <row r="467" ht="15.75" customHeight="1" s="51"/>
    <row r="468" ht="15.75" customHeight="1" s="51"/>
    <row r="469" ht="15.75" customHeight="1" s="51"/>
    <row r="470" ht="15.75" customHeight="1" s="51"/>
    <row r="471" ht="15.75" customHeight="1" s="51"/>
    <row r="472" ht="15.75" customHeight="1" s="51"/>
    <row r="473" ht="15.75" customHeight="1" s="51"/>
    <row r="474" ht="15.75" customHeight="1" s="51"/>
    <row r="475" ht="15.75" customHeight="1" s="51"/>
    <row r="476" ht="15.75" customHeight="1" s="51"/>
    <row r="477" ht="15.75" customHeight="1" s="51"/>
    <row r="478" ht="15.75" customHeight="1" s="51"/>
    <row r="479" ht="15.75" customHeight="1" s="51"/>
    <row r="480" ht="15.75" customHeight="1" s="51"/>
    <row r="481" ht="15.75" customHeight="1" s="51"/>
    <row r="482" ht="15.75" customHeight="1" s="51"/>
    <row r="483" ht="15.75" customHeight="1" s="51"/>
    <row r="484" ht="15.75" customHeight="1" s="51"/>
    <row r="485" ht="15.75" customHeight="1" s="51"/>
    <row r="486" ht="15.75" customHeight="1" s="51"/>
    <row r="487" ht="15.75" customHeight="1" s="51"/>
    <row r="488" ht="15.75" customHeight="1" s="51"/>
    <row r="489" ht="15.75" customHeight="1" s="51"/>
    <row r="490" ht="15.75" customHeight="1" s="51"/>
    <row r="491" ht="15.75" customHeight="1" s="51"/>
    <row r="492" ht="15.75" customHeight="1" s="51"/>
    <row r="493" ht="15.75" customHeight="1" s="51"/>
    <row r="494" ht="15.75" customHeight="1" s="51"/>
    <row r="495" ht="15.75" customHeight="1" s="51"/>
    <row r="496" ht="15.75" customHeight="1" s="51"/>
    <row r="497" ht="15.75" customHeight="1" s="51"/>
    <row r="498" ht="15.75" customHeight="1" s="51"/>
    <row r="499" ht="15.75" customHeight="1" s="51"/>
    <row r="500" ht="15.75" customHeight="1" s="51"/>
    <row r="501" ht="15.75" customHeight="1" s="51"/>
    <row r="502" ht="15.75" customHeight="1" s="51"/>
    <row r="503" ht="15.75" customHeight="1" s="51"/>
    <row r="504" ht="15.75" customHeight="1" s="51"/>
    <row r="505" ht="15.75" customHeight="1" s="51"/>
    <row r="506" ht="15.75" customHeight="1" s="51"/>
    <row r="507" ht="15.75" customHeight="1" s="51"/>
    <row r="508" ht="15.75" customHeight="1" s="51"/>
    <row r="509" ht="15.75" customHeight="1" s="51"/>
    <row r="510" ht="15.75" customHeight="1" s="51"/>
    <row r="511" ht="15.75" customHeight="1" s="51"/>
    <row r="512" ht="15.75" customHeight="1" s="51"/>
    <row r="513" ht="15.75" customHeight="1" s="51"/>
    <row r="514" ht="15.75" customHeight="1" s="51"/>
    <row r="515" ht="15.75" customHeight="1" s="51"/>
    <row r="516" ht="15.75" customHeight="1" s="51"/>
    <row r="517" ht="15.75" customHeight="1" s="51"/>
    <row r="518" ht="15.75" customHeight="1" s="51"/>
    <row r="519" ht="15.75" customHeight="1" s="51"/>
    <row r="520" ht="15.75" customHeight="1" s="51"/>
    <row r="521" ht="15.75" customHeight="1" s="51"/>
    <row r="522" ht="15.75" customHeight="1" s="51"/>
    <row r="523" ht="15.75" customHeight="1" s="51"/>
    <row r="524" ht="15.75" customHeight="1" s="51"/>
    <row r="525" ht="15.75" customHeight="1" s="51"/>
    <row r="526" ht="15.75" customHeight="1" s="51"/>
    <row r="527" ht="15.75" customHeight="1" s="51"/>
    <row r="528" ht="15.75" customHeight="1" s="51"/>
    <row r="529" ht="15.75" customHeight="1" s="51"/>
    <row r="530" ht="15.75" customHeight="1" s="51"/>
    <row r="531" ht="15.75" customHeight="1" s="51"/>
    <row r="532" ht="15.75" customHeight="1" s="51"/>
    <row r="533" ht="15.75" customHeight="1" s="51"/>
    <row r="534" ht="15.75" customHeight="1" s="51"/>
    <row r="535" ht="15.75" customHeight="1" s="51"/>
    <row r="536" ht="15.75" customHeight="1" s="51"/>
    <row r="537" ht="15.75" customHeight="1" s="51"/>
    <row r="538" ht="15.75" customHeight="1" s="51"/>
    <row r="539" ht="15.75" customHeight="1" s="51"/>
    <row r="540" ht="15.75" customHeight="1" s="51"/>
    <row r="541" ht="15.75" customHeight="1" s="51"/>
    <row r="542" ht="15.75" customHeight="1" s="51"/>
    <row r="543" ht="15.75" customHeight="1" s="51"/>
    <row r="544" ht="15.75" customHeight="1" s="51"/>
    <row r="545" ht="15.75" customHeight="1" s="51"/>
    <row r="546" ht="15.75" customHeight="1" s="51"/>
    <row r="547" ht="15.75" customHeight="1" s="51"/>
    <row r="548" ht="15.75" customHeight="1" s="51"/>
    <row r="549" ht="15.75" customHeight="1" s="51"/>
    <row r="550" ht="15.75" customHeight="1" s="51"/>
    <row r="551" ht="15.75" customHeight="1" s="51"/>
    <row r="552" ht="15.75" customHeight="1" s="51"/>
    <row r="553" ht="15.75" customHeight="1" s="51"/>
    <row r="554" ht="15.75" customHeight="1" s="51"/>
    <row r="555" ht="15.75" customHeight="1" s="51"/>
    <row r="556" ht="15.75" customHeight="1" s="51"/>
    <row r="557" ht="15.75" customHeight="1" s="51"/>
    <row r="558" ht="15.75" customHeight="1" s="51"/>
    <row r="559" ht="15.75" customHeight="1" s="51"/>
    <row r="560" ht="15.75" customHeight="1" s="51"/>
    <row r="561" ht="15.75" customHeight="1" s="51"/>
    <row r="562" ht="15.75" customHeight="1" s="51"/>
    <row r="563" ht="15.75" customHeight="1" s="51"/>
    <row r="564" ht="15.75" customHeight="1" s="51"/>
    <row r="565" ht="15.75" customHeight="1" s="51"/>
    <row r="566" ht="15.75" customHeight="1" s="51"/>
    <row r="567" ht="15.75" customHeight="1" s="51"/>
    <row r="568" ht="15.75" customHeight="1" s="51"/>
    <row r="569" ht="15.75" customHeight="1" s="51"/>
    <row r="570" ht="15.75" customHeight="1" s="51"/>
    <row r="571" ht="15.75" customHeight="1" s="51"/>
    <row r="572" ht="15.75" customHeight="1" s="51"/>
    <row r="573" ht="15.75" customHeight="1" s="51"/>
    <row r="574" ht="15.75" customHeight="1" s="51"/>
    <row r="575" ht="15.75" customHeight="1" s="51"/>
    <row r="576" ht="15.75" customHeight="1" s="51"/>
    <row r="577" ht="15.75" customHeight="1" s="51"/>
    <row r="578" ht="15.75" customHeight="1" s="51"/>
    <row r="579" ht="15.75" customHeight="1" s="51"/>
    <row r="580" ht="15.75" customHeight="1" s="51"/>
    <row r="581" ht="15.75" customHeight="1" s="51"/>
    <row r="582" ht="15.75" customHeight="1" s="51"/>
    <row r="583" ht="15.75" customHeight="1" s="51"/>
    <row r="584" ht="15.75" customHeight="1" s="51"/>
    <row r="585" ht="15.75" customHeight="1" s="51"/>
    <row r="586" ht="15.75" customHeight="1" s="51"/>
    <row r="587" ht="15.75" customHeight="1" s="51"/>
    <row r="588" ht="15.75" customHeight="1" s="51"/>
    <row r="589" ht="15.75" customHeight="1" s="51"/>
    <row r="590" ht="15.75" customHeight="1" s="51"/>
    <row r="591" ht="15.75" customHeight="1" s="51"/>
    <row r="592" ht="15.75" customHeight="1" s="51"/>
    <row r="593" ht="15.75" customHeight="1" s="51"/>
    <row r="594" ht="15.75" customHeight="1" s="51"/>
    <row r="595" ht="15.75" customHeight="1" s="51"/>
    <row r="596" ht="15.75" customHeight="1" s="51"/>
    <row r="597" ht="15.75" customHeight="1" s="51"/>
    <row r="598" ht="15.75" customHeight="1" s="51"/>
    <row r="599" ht="15.75" customHeight="1" s="51"/>
    <row r="600" ht="15.75" customHeight="1" s="51"/>
    <row r="601" ht="15.75" customHeight="1" s="51"/>
    <row r="602" ht="15.75" customHeight="1" s="51"/>
    <row r="603" ht="15.75" customHeight="1" s="51"/>
    <row r="604" ht="15.75" customHeight="1" s="51"/>
    <row r="605" ht="15.75" customHeight="1" s="51"/>
    <row r="606" ht="15.75" customHeight="1" s="51"/>
    <row r="607" ht="15.75" customHeight="1" s="51"/>
    <row r="608" ht="15.75" customHeight="1" s="51"/>
    <row r="609" ht="15.75" customHeight="1" s="51"/>
    <row r="610" ht="15.75" customHeight="1" s="51"/>
    <row r="611" ht="15.75" customHeight="1" s="51"/>
    <row r="612" ht="15.75" customHeight="1" s="51"/>
    <row r="613" ht="15.75" customHeight="1" s="51"/>
    <row r="614" ht="15.75" customHeight="1" s="51"/>
    <row r="615" ht="15.75" customHeight="1" s="51"/>
    <row r="616" ht="15.75" customHeight="1" s="51"/>
    <row r="617" ht="15.75" customHeight="1" s="51"/>
    <row r="618" ht="15.75" customHeight="1" s="51"/>
    <row r="619" ht="15.75" customHeight="1" s="51"/>
    <row r="620" ht="15.75" customHeight="1" s="51"/>
    <row r="621" ht="15.75" customHeight="1" s="51"/>
    <row r="622" ht="15.75" customHeight="1" s="51"/>
    <row r="623" ht="15.75" customHeight="1" s="51"/>
    <row r="624" ht="15.75" customHeight="1" s="51"/>
    <row r="625" ht="15.75" customHeight="1" s="51"/>
    <row r="626" ht="15.75" customHeight="1" s="51"/>
    <row r="627" ht="15.75" customHeight="1" s="51"/>
    <row r="628" ht="15.75" customHeight="1" s="51"/>
    <row r="629" ht="15.75" customHeight="1" s="51"/>
    <row r="630" ht="15.75" customHeight="1" s="51"/>
    <row r="631" ht="15.75" customHeight="1" s="51"/>
    <row r="632" ht="15.75" customHeight="1" s="51"/>
    <row r="633" ht="15.75" customHeight="1" s="51"/>
    <row r="634" ht="15.75" customHeight="1" s="51"/>
    <row r="635" ht="15.75" customHeight="1" s="51"/>
    <row r="636" ht="15.75" customHeight="1" s="51"/>
    <row r="637" ht="15.75" customHeight="1" s="51"/>
    <row r="638" ht="15.75" customHeight="1" s="51"/>
    <row r="639" ht="15.75" customHeight="1" s="51"/>
    <row r="640" ht="15.75" customHeight="1" s="51"/>
    <row r="641" ht="15.75" customHeight="1" s="51"/>
    <row r="642" ht="15.75" customHeight="1" s="51"/>
    <row r="643" ht="15.75" customHeight="1" s="51"/>
    <row r="644" ht="15.75" customHeight="1" s="51"/>
    <row r="645" ht="15.75" customHeight="1" s="51"/>
    <row r="646" ht="15.75" customHeight="1" s="51"/>
    <row r="647" ht="15.75" customHeight="1" s="51"/>
    <row r="648" ht="15.75" customHeight="1" s="51"/>
    <row r="649" ht="15.75" customHeight="1" s="51"/>
    <row r="650" ht="15.75" customHeight="1" s="51"/>
    <row r="651" ht="15.75" customHeight="1" s="51"/>
    <row r="652" ht="15.75" customHeight="1" s="51"/>
    <row r="653" ht="15.75" customHeight="1" s="51"/>
    <row r="654" ht="15.75" customHeight="1" s="51"/>
    <row r="655" ht="15.75" customHeight="1" s="51"/>
    <row r="656" ht="15.75" customHeight="1" s="51"/>
    <row r="657" ht="15.75" customHeight="1" s="51"/>
    <row r="658" ht="15.75" customHeight="1" s="51"/>
    <row r="659" ht="15.75" customHeight="1" s="51"/>
    <row r="660" ht="15.75" customHeight="1" s="51"/>
    <row r="661" ht="15.75" customHeight="1" s="51"/>
    <row r="662" ht="15.75" customHeight="1" s="51"/>
    <row r="663" ht="15.75" customHeight="1" s="51"/>
    <row r="664" ht="15.75" customHeight="1" s="51"/>
    <row r="665" ht="15.75" customHeight="1" s="51"/>
    <row r="666" ht="15.75" customHeight="1" s="51"/>
    <row r="667" ht="15.75" customHeight="1" s="51"/>
    <row r="668" ht="15.75" customHeight="1" s="51"/>
    <row r="669" ht="15.75" customHeight="1" s="51"/>
    <row r="670" ht="15.75" customHeight="1" s="51"/>
    <row r="671" ht="15.75" customHeight="1" s="51"/>
    <row r="672" ht="15.75" customHeight="1" s="51"/>
    <row r="673" ht="15.75" customHeight="1" s="51"/>
    <row r="674" ht="15.75" customHeight="1" s="51"/>
    <row r="675" ht="15.75" customHeight="1" s="51"/>
    <row r="676" ht="15.75" customHeight="1" s="51"/>
    <row r="677" ht="15.75" customHeight="1" s="51"/>
    <row r="678" ht="15.75" customHeight="1" s="51"/>
    <row r="679" ht="15.75" customHeight="1" s="51"/>
    <row r="680" ht="15.75" customHeight="1" s="51"/>
    <row r="681" ht="15.75" customHeight="1" s="51"/>
    <row r="682" ht="15.75" customHeight="1" s="51"/>
    <row r="683" ht="15.75" customHeight="1" s="51"/>
    <row r="684" ht="15.75" customHeight="1" s="51"/>
    <row r="685" ht="15.75" customHeight="1" s="51"/>
    <row r="686" ht="15.75" customHeight="1" s="51"/>
    <row r="687" ht="15.75" customHeight="1" s="51"/>
    <row r="688" ht="15.75" customHeight="1" s="51"/>
    <row r="689" ht="15.75" customHeight="1" s="51"/>
    <row r="690" ht="15.75" customHeight="1" s="51"/>
    <row r="691" ht="15.75" customHeight="1" s="51"/>
    <row r="692" ht="15.75" customHeight="1" s="51"/>
    <row r="693" ht="15.75" customHeight="1" s="51"/>
    <row r="694" ht="15.75" customHeight="1" s="51"/>
    <row r="695" ht="15.75" customHeight="1" s="51"/>
    <row r="696" ht="15.75" customHeight="1" s="51"/>
    <row r="697" ht="15.75" customHeight="1" s="51"/>
    <row r="698" ht="15.75" customHeight="1" s="51"/>
    <row r="699" ht="15.75" customHeight="1" s="51"/>
    <row r="700" ht="15.75" customHeight="1" s="51"/>
    <row r="701" ht="15.75" customHeight="1" s="51"/>
    <row r="702" ht="15.75" customHeight="1" s="51"/>
    <row r="703" ht="15.75" customHeight="1" s="51"/>
    <row r="704" ht="15.75" customHeight="1" s="51"/>
    <row r="705" ht="15.75" customHeight="1" s="51"/>
    <row r="706" ht="15.75" customHeight="1" s="51"/>
    <row r="707" ht="15.75" customHeight="1" s="51"/>
    <row r="708" ht="15.75" customHeight="1" s="51"/>
    <row r="709" ht="15.75" customHeight="1" s="51"/>
    <row r="710" ht="15.75" customHeight="1" s="51"/>
    <row r="711" ht="15.75" customHeight="1" s="51"/>
    <row r="712" ht="15.75" customHeight="1" s="51"/>
    <row r="713" ht="15.75" customHeight="1" s="51"/>
    <row r="714" ht="15.75" customHeight="1" s="51"/>
    <row r="715" ht="15.75" customHeight="1" s="51"/>
    <row r="716" ht="15.75" customHeight="1" s="51"/>
    <row r="717" ht="15.75" customHeight="1" s="51"/>
    <row r="718" ht="15.75" customHeight="1" s="51"/>
    <row r="719" ht="15.75" customHeight="1" s="51"/>
    <row r="720" ht="15.75" customHeight="1" s="51"/>
    <row r="721" ht="15.75" customHeight="1" s="51"/>
    <row r="722" ht="15.75" customHeight="1" s="51"/>
    <row r="723" ht="15.75" customHeight="1" s="51"/>
    <row r="724" ht="15.75" customHeight="1" s="51"/>
    <row r="725" ht="15.75" customHeight="1" s="51"/>
    <row r="726" ht="15.75" customHeight="1" s="51"/>
    <row r="727" ht="15.75" customHeight="1" s="51"/>
    <row r="728" ht="15.75" customHeight="1" s="51"/>
    <row r="729" ht="15.75" customHeight="1" s="51"/>
    <row r="730" ht="15.75" customHeight="1" s="51"/>
    <row r="731" ht="15.75" customHeight="1" s="51"/>
    <row r="732" ht="15.75" customHeight="1" s="51"/>
    <row r="733" ht="15.75" customHeight="1" s="51"/>
    <row r="734" ht="15.75" customHeight="1" s="51"/>
    <row r="735" ht="15.75" customHeight="1" s="51"/>
    <row r="736" ht="15.75" customHeight="1" s="51"/>
    <row r="737" ht="15.75" customHeight="1" s="51"/>
    <row r="738" ht="15.75" customHeight="1" s="51"/>
    <row r="739" ht="15.75" customHeight="1" s="51"/>
    <row r="740" ht="15.75" customHeight="1" s="51"/>
    <row r="741" ht="15.75" customHeight="1" s="51"/>
    <row r="742" ht="15.75" customHeight="1" s="51"/>
    <row r="743" ht="15.75" customHeight="1" s="51"/>
    <row r="744" ht="15.75" customHeight="1" s="51"/>
    <row r="745" ht="15.75" customHeight="1" s="51"/>
    <row r="746" ht="15.75" customHeight="1" s="51"/>
    <row r="747" ht="15.75" customHeight="1" s="51"/>
    <row r="748" ht="15.75" customHeight="1" s="51"/>
    <row r="749" ht="15.75" customHeight="1" s="51"/>
    <row r="750" ht="15.75" customHeight="1" s="51"/>
    <row r="751" ht="15.75" customHeight="1" s="51"/>
    <row r="752" ht="15.75" customHeight="1" s="51"/>
    <row r="753" ht="15.75" customHeight="1" s="51"/>
    <row r="754" ht="15.75" customHeight="1" s="51"/>
    <row r="755" ht="15.75" customHeight="1" s="51"/>
    <row r="756" ht="15.75" customHeight="1" s="51"/>
    <row r="757" ht="15.75" customHeight="1" s="51"/>
    <row r="758" ht="15.75" customHeight="1" s="51"/>
    <row r="759" ht="15.75" customHeight="1" s="51"/>
    <row r="760" ht="15.75" customHeight="1" s="51"/>
    <row r="761" ht="15.75" customHeight="1" s="51"/>
    <row r="762" ht="15.75" customHeight="1" s="51"/>
    <row r="763" ht="15.75" customHeight="1" s="51"/>
    <row r="764" ht="15.75" customHeight="1" s="51"/>
    <row r="765" ht="15.75" customHeight="1" s="51"/>
    <row r="766" ht="15.75" customHeight="1" s="51"/>
    <row r="767" ht="15.75" customHeight="1" s="51"/>
    <row r="768" ht="15.75" customHeight="1" s="51"/>
    <row r="769" ht="15.75" customHeight="1" s="51"/>
    <row r="770" ht="15.75" customHeight="1" s="51"/>
    <row r="771" ht="15.75" customHeight="1" s="51"/>
    <row r="772" ht="15.75" customHeight="1" s="51"/>
    <row r="773" ht="15.75" customHeight="1" s="51"/>
    <row r="774" ht="15.75" customHeight="1" s="51"/>
    <row r="775" ht="15.75" customHeight="1" s="51"/>
    <row r="776" ht="15.75" customHeight="1" s="51"/>
    <row r="777" ht="15.75" customHeight="1" s="51"/>
    <row r="778" ht="15.75" customHeight="1" s="51"/>
    <row r="779" ht="15.75" customHeight="1" s="51"/>
    <row r="780" ht="15.75" customHeight="1" s="51"/>
    <row r="781" ht="15.75" customHeight="1" s="51"/>
    <row r="782" ht="15.75" customHeight="1" s="51"/>
    <row r="783" ht="15.75" customHeight="1" s="51"/>
    <row r="784" ht="15.75" customHeight="1" s="51"/>
    <row r="785" ht="15.75" customHeight="1" s="51"/>
    <row r="786" ht="15.75" customHeight="1" s="51"/>
    <row r="787" ht="15.75" customHeight="1" s="51"/>
    <row r="788" ht="15.75" customHeight="1" s="51"/>
    <row r="789" ht="15.75" customHeight="1" s="51"/>
    <row r="790" ht="15.75" customHeight="1" s="51"/>
    <row r="791" ht="15.75" customHeight="1" s="51"/>
    <row r="792" ht="15.75" customHeight="1" s="51"/>
    <row r="793" ht="15.75" customHeight="1" s="51"/>
    <row r="794" ht="15.75" customHeight="1" s="51"/>
    <row r="795" ht="15.75" customHeight="1" s="51"/>
    <row r="796" ht="15.75" customHeight="1" s="51"/>
    <row r="797" ht="15.75" customHeight="1" s="51"/>
    <row r="798" ht="15.75" customHeight="1" s="51"/>
    <row r="799" ht="15.75" customHeight="1" s="51"/>
    <row r="800" ht="15.75" customHeight="1" s="51"/>
    <row r="801" ht="15.75" customHeight="1" s="51"/>
    <row r="802" ht="15.75" customHeight="1" s="51"/>
    <row r="803" ht="15.75" customHeight="1" s="51"/>
    <row r="804" ht="15.75" customHeight="1" s="51"/>
    <row r="805" ht="15.75" customHeight="1" s="51"/>
    <row r="806" ht="15.75" customHeight="1" s="51"/>
    <row r="807" ht="15.75" customHeight="1" s="51"/>
    <row r="808" ht="15.75" customHeight="1" s="51"/>
    <row r="809" ht="15.75" customHeight="1" s="51"/>
    <row r="810" ht="15.75" customHeight="1" s="51"/>
    <row r="811" ht="15.75" customHeight="1" s="51"/>
    <row r="812" ht="15.75" customHeight="1" s="51"/>
    <row r="813" ht="15.75" customHeight="1" s="51"/>
    <row r="814" ht="15.75" customHeight="1" s="51"/>
    <row r="815" ht="15.75" customHeight="1" s="51"/>
    <row r="816" ht="15.75" customHeight="1" s="51"/>
    <row r="817" ht="15.75" customHeight="1" s="51"/>
    <row r="818" ht="15.75" customHeight="1" s="51"/>
    <row r="819" ht="15.75" customHeight="1" s="51"/>
    <row r="820" ht="15.75" customHeight="1" s="51"/>
    <row r="821" ht="15.75" customHeight="1" s="51"/>
    <row r="822" ht="15.75" customHeight="1" s="51"/>
    <row r="823" ht="15.75" customHeight="1" s="51"/>
    <row r="824" ht="15.75" customHeight="1" s="51"/>
    <row r="825" ht="15.75" customHeight="1" s="51"/>
    <row r="826" ht="15.75" customHeight="1" s="51"/>
    <row r="827" ht="15.75" customHeight="1" s="51"/>
    <row r="828" ht="15.75" customHeight="1" s="51"/>
    <row r="829" ht="15.75" customHeight="1" s="51"/>
    <row r="830" ht="15.75" customHeight="1" s="51"/>
    <row r="831" ht="15.75" customHeight="1" s="51"/>
    <row r="832" ht="15.75" customHeight="1" s="51"/>
    <row r="833" ht="15.75" customHeight="1" s="51"/>
    <row r="834" ht="15.75" customHeight="1" s="51"/>
    <row r="835" ht="15.75" customHeight="1" s="51"/>
    <row r="836" ht="15.75" customHeight="1" s="51"/>
    <row r="837" ht="15.75" customHeight="1" s="51"/>
    <row r="838" ht="15.75" customHeight="1" s="51"/>
    <row r="839" ht="15.75" customHeight="1" s="51"/>
    <row r="840" ht="15.75" customHeight="1" s="51"/>
    <row r="841" ht="15.75" customHeight="1" s="51"/>
    <row r="842" ht="15.75" customHeight="1" s="51"/>
    <row r="843" ht="15.75" customHeight="1" s="51"/>
    <row r="844" ht="15.75" customHeight="1" s="51"/>
    <row r="845" ht="15.75" customHeight="1" s="51"/>
    <row r="846" ht="15.75" customHeight="1" s="51"/>
    <row r="847" ht="15.75" customHeight="1" s="51"/>
    <row r="848" ht="15.75" customHeight="1" s="51"/>
    <row r="849" ht="15.75" customHeight="1" s="51"/>
    <row r="850" ht="15.75" customHeight="1" s="51"/>
    <row r="851" ht="15.75" customHeight="1" s="51"/>
    <row r="852" ht="15.75" customHeight="1" s="51"/>
    <row r="853" ht="15.75" customHeight="1" s="51"/>
    <row r="854" ht="15.75" customHeight="1" s="51"/>
    <row r="855" ht="15.75" customHeight="1" s="51"/>
    <row r="856" ht="15.75" customHeight="1" s="51"/>
    <row r="857" ht="15.75" customHeight="1" s="51"/>
    <row r="858" ht="15.75" customHeight="1" s="51"/>
    <row r="859" ht="15.75" customHeight="1" s="51"/>
    <row r="860" ht="15.75" customHeight="1" s="51"/>
    <row r="861" ht="15.75" customHeight="1" s="51"/>
    <row r="862" ht="15.75" customHeight="1" s="51"/>
    <row r="863" ht="15.75" customHeight="1" s="51"/>
    <row r="864" ht="15.75" customHeight="1" s="51"/>
    <row r="865" ht="15.75" customHeight="1" s="51"/>
    <row r="866" ht="15.75" customHeight="1" s="51"/>
    <row r="867" ht="15.75" customHeight="1" s="51"/>
    <row r="868" ht="15.75" customHeight="1" s="51"/>
    <row r="869" ht="15.75" customHeight="1" s="51"/>
    <row r="870" ht="15.75" customHeight="1" s="51"/>
    <row r="871" ht="15.75" customHeight="1" s="51"/>
    <row r="872" ht="15.75" customHeight="1" s="51"/>
    <row r="873" ht="15.75" customHeight="1" s="51"/>
    <row r="874" ht="15.75" customHeight="1" s="51"/>
    <row r="875" ht="15.75" customHeight="1" s="51"/>
    <row r="876" ht="15.75" customHeight="1" s="51"/>
    <row r="877" ht="15.75" customHeight="1" s="51"/>
    <row r="878" ht="15.75" customHeight="1" s="51"/>
    <row r="879" ht="15.75" customHeight="1" s="51"/>
    <row r="880" ht="15.75" customHeight="1" s="51"/>
    <row r="881" ht="15.75" customHeight="1" s="51"/>
    <row r="882" ht="15.75" customHeight="1" s="51"/>
    <row r="883" ht="15.75" customHeight="1" s="51"/>
    <row r="884" ht="15.75" customHeight="1" s="51"/>
    <row r="885" ht="15.75" customHeight="1" s="51"/>
    <row r="886" ht="15.75" customHeight="1" s="51"/>
    <row r="887" ht="15.75" customHeight="1" s="51"/>
    <row r="888" ht="15.75" customHeight="1" s="51"/>
    <row r="889" ht="15.75" customHeight="1" s="51"/>
    <row r="890" ht="15.75" customHeight="1" s="51"/>
    <row r="891" ht="15.75" customHeight="1" s="51"/>
    <row r="892" ht="15.75" customHeight="1" s="51"/>
    <row r="893" ht="15.75" customHeight="1" s="51"/>
    <row r="894" ht="15.75" customHeight="1" s="51"/>
    <row r="895" ht="15.75" customHeight="1" s="51"/>
    <row r="896" ht="15.75" customHeight="1" s="51"/>
    <row r="897" ht="15.75" customHeight="1" s="51"/>
    <row r="898" ht="15.75" customHeight="1" s="51"/>
    <row r="899" ht="15.75" customHeight="1" s="51"/>
    <row r="900" ht="15.75" customHeight="1" s="51"/>
    <row r="901" ht="15.75" customHeight="1" s="51"/>
    <row r="902" ht="15.75" customHeight="1" s="51"/>
    <row r="903" ht="15.75" customHeight="1" s="51"/>
    <row r="904" ht="15.75" customHeight="1" s="51"/>
    <row r="905" ht="15.75" customHeight="1" s="51"/>
    <row r="906" ht="15.75" customHeight="1" s="51"/>
    <row r="907" ht="15.75" customHeight="1" s="51"/>
    <row r="908" ht="15.75" customHeight="1" s="51"/>
    <row r="909" ht="15.75" customHeight="1" s="51"/>
    <row r="910" ht="15.75" customHeight="1" s="51"/>
    <row r="911" ht="15.75" customHeight="1" s="51"/>
    <row r="912" ht="15.75" customHeight="1" s="51"/>
    <row r="913" ht="15.75" customHeight="1" s="51"/>
    <row r="914" ht="15.75" customHeight="1" s="51"/>
    <row r="915" ht="15.75" customHeight="1" s="51"/>
    <row r="916" ht="15.75" customHeight="1" s="51"/>
    <row r="917" ht="15.75" customHeight="1" s="51"/>
    <row r="918" ht="15.75" customHeight="1" s="51"/>
    <row r="919" ht="15.75" customHeight="1" s="51"/>
    <row r="920" ht="15.75" customHeight="1" s="51"/>
    <row r="921" ht="15.75" customHeight="1" s="51"/>
    <row r="922" ht="15.75" customHeight="1" s="51"/>
    <row r="923" ht="15.75" customHeight="1" s="51"/>
    <row r="924" ht="15.75" customHeight="1" s="51"/>
    <row r="925" ht="15.75" customHeight="1" s="51"/>
    <row r="926" ht="15.75" customHeight="1" s="51"/>
    <row r="927" ht="15.75" customHeight="1" s="51"/>
    <row r="928" ht="15.75" customHeight="1" s="51"/>
    <row r="929" ht="15.75" customHeight="1" s="51"/>
    <row r="930" ht="15.75" customHeight="1" s="51"/>
    <row r="931" ht="15.75" customHeight="1" s="51"/>
    <row r="932" ht="15.75" customHeight="1" s="51"/>
    <row r="933" ht="15.75" customHeight="1" s="51"/>
    <row r="934" ht="15.75" customHeight="1" s="51"/>
    <row r="935" ht="15.75" customHeight="1" s="51"/>
    <row r="936" ht="15.75" customHeight="1" s="51"/>
    <row r="937" ht="15.75" customHeight="1" s="51"/>
    <row r="938" ht="15.75" customHeight="1" s="51"/>
    <row r="939" ht="15.75" customHeight="1" s="51"/>
    <row r="940" ht="15.75" customHeight="1" s="51"/>
    <row r="941" ht="15.75" customHeight="1" s="51"/>
    <row r="942" ht="15.75" customHeight="1" s="51"/>
    <row r="943" ht="15.75" customHeight="1" s="51"/>
    <row r="944" ht="15.75" customHeight="1" s="51"/>
    <row r="945" ht="15.75" customHeight="1" s="51"/>
    <row r="946" ht="15.75" customHeight="1" s="51"/>
    <row r="947" ht="15.75" customHeight="1" s="51"/>
    <row r="948" ht="15.75" customHeight="1" s="51"/>
    <row r="949" ht="15.75" customHeight="1" s="51"/>
    <row r="950" ht="15.75" customHeight="1" s="51"/>
    <row r="951" ht="15.75" customHeight="1" s="51"/>
    <row r="952" ht="15.75" customHeight="1" s="51"/>
    <row r="953" ht="15.75" customHeight="1" s="51"/>
    <row r="954" ht="15.75" customHeight="1" s="51"/>
    <row r="955" ht="15.75" customHeight="1" s="51"/>
    <row r="956" ht="15.75" customHeight="1" s="51"/>
    <row r="957" ht="15.75" customHeight="1" s="51"/>
    <row r="958" ht="15.75" customHeight="1" s="51"/>
    <row r="959" ht="15.75" customHeight="1" s="51"/>
    <row r="960" ht="15.75" customHeight="1" s="51"/>
    <row r="961" ht="15.75" customHeight="1" s="51"/>
    <row r="962" ht="15.75" customHeight="1" s="51"/>
    <row r="963" ht="15.75" customHeight="1" s="51"/>
    <row r="964" ht="15.75" customHeight="1" s="51"/>
    <row r="965" ht="15.75" customHeight="1" s="51"/>
    <row r="966" ht="15.75" customHeight="1" s="51"/>
    <row r="967" ht="15.75" customHeight="1" s="51"/>
    <row r="968" ht="15.75" customHeight="1" s="51"/>
    <row r="969" ht="15.75" customHeight="1" s="51"/>
    <row r="970" ht="15.75" customHeight="1" s="51"/>
    <row r="971" ht="15.75" customHeight="1" s="51"/>
    <row r="972" ht="15.75" customHeight="1" s="51"/>
    <row r="973" ht="15.75" customHeight="1" s="51"/>
    <row r="974" ht="15.75" customHeight="1" s="51"/>
    <row r="975" ht="15.75" customHeight="1" s="51"/>
    <row r="976" ht="15.75" customHeight="1" s="51"/>
    <row r="977" ht="15.75" customHeight="1" s="51"/>
    <row r="978" ht="15.75" customHeight="1" s="51"/>
    <row r="979" ht="15.75" customHeight="1" s="51"/>
    <row r="980" ht="15.75" customHeight="1" s="51"/>
    <row r="981" ht="15.75" customHeight="1" s="51"/>
    <row r="982" ht="15.75" customHeight="1" s="51"/>
    <row r="983" ht="15.75" customHeight="1" s="51"/>
    <row r="984" ht="15.75" customHeight="1" s="51"/>
    <row r="985" ht="15.75" customHeight="1" s="51"/>
    <row r="986" ht="15.75" customHeight="1" s="51"/>
    <row r="987" ht="15.75" customHeight="1" s="51"/>
    <row r="988" ht="15.75" customHeight="1" s="51"/>
    <row r="989" ht="15.75" customHeight="1" s="51"/>
    <row r="990" ht="15.75" customHeight="1" s="51"/>
    <row r="991" ht="15.75" customHeight="1" s="51"/>
    <row r="992" ht="15.75" customHeight="1" s="51"/>
    <row r="993" ht="15.75" customHeight="1" s="51"/>
    <row r="994" ht="15.75" customHeight="1" s="51"/>
    <row r="995" ht="15.75" customHeight="1" s="51"/>
    <row r="996" ht="15.75" customHeight="1" s="51"/>
    <row r="997" ht="15.75" customHeight="1" s="51"/>
    <row r="998" ht="15.75" customHeight="1" s="51"/>
    <row r="999" ht="15.75" customHeight="1" s="51"/>
    <row r="1000" ht="15.75" customHeight="1" s="51"/>
  </sheetData>
  <mergeCells count="2">
    <mergeCell ref="A1:J1"/>
    <mergeCell ref="A2:S2"/>
  </mergeCells>
  <dataValidations count="4">
    <dataValidation sqref="D5:D24" showDropDown="0" showInputMessage="0" showErrorMessage="0" allowBlank="1" type="list">
      <formula1>'選択肢リスト'!$A$3:$A$201</formula1>
    </dataValidation>
    <dataValidation sqref="H5:H24" showDropDown="0" showInputMessage="0" showErrorMessage="0" allowBlank="1" type="list">
      <formula1>'選択肢リスト'!$D$3:$D$201</formula1>
    </dataValidation>
    <dataValidation sqref="G5:G24" showDropDown="0" showInputMessage="0" showErrorMessage="0" allowBlank="1" type="list">
      <formula1>'選択肢リスト'!$C$3:$C$201</formula1>
    </dataValidation>
    <dataValidation sqref="E5:E24" showDropDown="0" showInputMessage="0" showErrorMessage="0" allowBlank="1" type="list">
      <formula1>'選択肢リスト'!$B$3:$B$201</formula1>
    </dataValidation>
  </dataValidation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s>
  <pageMargins left="0.75" right="0.75" top="1" bottom="1"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5" customWidth="1" style="51" min="1" max="1"/>
    <col width="11" customWidth="1" style="51" min="2" max="2"/>
    <col width="30" customWidth="1" style="51" min="3" max="3"/>
    <col width="16" customWidth="1" style="51" min="4" max="4"/>
    <col width="18" customWidth="1" style="51" min="5" max="5"/>
    <col width="26" customWidth="1" style="51" min="6" max="6"/>
    <col width="24" customWidth="1" style="51" min="7" max="7"/>
    <col width="22" customWidth="1" style="51" min="8" max="8"/>
    <col width="44" customWidth="1" style="51" min="9" max="9"/>
    <col width="7" customWidth="1" style="51" min="10" max="10"/>
    <col width="11" customWidth="1" style="51" min="11" max="11"/>
    <col width="9" customWidth="1" style="51" min="12" max="13"/>
    <col width="12" customWidth="1" style="51" min="14" max="14"/>
    <col width="11" customWidth="1" style="51" min="15" max="16"/>
    <col width="46" customWidth="1" style="51" min="17" max="17"/>
    <col width="26" customWidth="1" style="51" min="18" max="18"/>
    <col width="46" customWidth="1" style="51" min="19" max="19"/>
    <col width="8.710000000000001" customWidth="1" style="51" min="20" max="24"/>
  </cols>
  <sheetData>
    <row r="1" ht="24" customHeight="1" s="51">
      <c r="A1" s="2" t="inlineStr">
        <is>
          <t>KOICA キルギス（@koica.kg）　フォロワー4,568人／投稿452件</t>
        </is>
      </c>
    </row>
    <row r="2" ht="55.5" customHeight="1" s="51">
      <c r="A2" s="4" t="inlineStr">
        <is>
          <t>【データ】2026/8/10時点。全投稿（Peace Corps 573件・KOICA 452件・JICA 236件）を取得し、再生回数の上位20件を降順で掲載。Instagramが再生回数を公開しているのはリールのみのため、上位20件は全てリールです（カルーセル・静止画は再生回数を外部から取得できません）。　【入力】白いセルは自動記入済みで上書き可。水色セル（保存数・コメントの概要）は手入力欄です。保存数は非公開のため空欄。グレー列は自動計算。フォロワー数は投稿時点ではなく現在値のため、エンゲージメント率は概算値です。　【選択式】形式・ジャンル・手法・目的の4列はセルをクリック→▼から選択（選択肢は『選択肢リスト』シートで追加可）。</t>
        </is>
      </c>
    </row>
    <row r="3" ht="6" customHeight="1" s="51"/>
    <row r="4" ht="45.75" customHeight="1" s="51">
      <c r="A4" s="13" t="inlineStr">
        <is>
          <t>No.</t>
        </is>
      </c>
      <c r="B4" s="14" t="inlineStr">
        <is>
          <t>投稿日</t>
        </is>
      </c>
      <c r="C4" s="14" t="inlineStr">
        <is>
          <t>投稿URL</t>
        </is>
      </c>
      <c r="D4" s="14" t="inlineStr">
        <is>
          <t>形式</t>
        </is>
      </c>
      <c r="E4" s="14" t="inlineStr">
        <is>
          <t>ジャンル</t>
        </is>
      </c>
      <c r="F4" s="14" t="inlineStr">
        <is>
          <t>サブテーマ・対象国/地域</t>
        </is>
      </c>
      <c r="G4" s="14" t="inlineStr">
        <is>
          <t>ストーリーテリング手法</t>
        </is>
      </c>
      <c r="H4" s="14" t="inlineStr">
        <is>
          <t>推定される投稿の目的</t>
        </is>
      </c>
      <c r="I4" s="14" t="inlineStr">
        <is>
          <t>冒頭のフック／投稿内容の要約</t>
        </is>
      </c>
      <c r="J4" s="14" t="inlineStr">
        <is>
          <t>動画尺
（秒）</t>
        </is>
      </c>
      <c r="K4" s="14" t="inlineStr">
        <is>
          <t>再生回数</t>
        </is>
      </c>
      <c r="L4" s="14" t="inlineStr">
        <is>
          <t>いいね</t>
        </is>
      </c>
      <c r="M4" s="14" t="inlineStr">
        <is>
          <t>コメント</t>
        </is>
      </c>
      <c r="N4" s="14" t="inlineStr">
        <is>
          <t>フォロワー数
（現在値）</t>
        </is>
      </c>
      <c r="O4" s="14" t="inlineStr">
        <is>
          <t>再生÷
フォロワー
（自動）</t>
        </is>
      </c>
      <c r="P4" s="14" t="inlineStr">
        <is>
          <t>いいね率
（対再生・自動）</t>
        </is>
      </c>
      <c r="Q4" s="14" t="inlineStr">
        <is>
          <t>良い点・目を引く点</t>
        </is>
      </c>
      <c r="R4" s="14" t="inlineStr">
        <is>
          <t>コメントの概要（どんな反応か）</t>
        </is>
      </c>
      <c r="S4" s="14" t="inlineStr">
        <is>
          <t>気づいたこと・自アカウントへの応用</t>
        </is>
      </c>
    </row>
    <row r="5" ht="96" customHeight="1" s="51">
      <c r="A5" s="17" t="n">
        <v>1</v>
      </c>
      <c r="B5" s="18" t="n">
        <v>45974</v>
      </c>
      <c r="C5" s="23" t="inlineStr">
        <is>
          <t>https://www.instagram.com/reel/DQ_kcXqkQvO/</t>
        </is>
      </c>
      <c r="D5" s="43" t="inlineStr">
        <is>
          <t>リール（動画）</t>
        </is>
      </c>
      <c r="E5" s="43" t="inlineStr">
        <is>
          <t>保健・医療</t>
        </is>
      </c>
      <c r="F5" s="30" t="inlineStr">
        <is>
          <t>子どもの衛生習慣／韓国大使館との共同制作</t>
        </is>
      </c>
      <c r="G5" s="43" t="inlineStr">
        <is>
          <t>ハウツー・解説（教える）</t>
        </is>
      </c>
      <c r="H5" s="43" t="inlineStr">
        <is>
          <t>教育・啓発</t>
        </is>
      </c>
      <c r="I5" s="30" t="n"/>
      <c r="J5" s="31" t="n">
        <v>114</v>
      </c>
      <c r="K5" s="32" t="n">
        <v>32545</v>
      </c>
      <c r="L5" s="32" t="n">
        <v>644</v>
      </c>
      <c r="M5" s="32" t="n">
        <v>44</v>
      </c>
      <c r="N5" s="32" t="n">
        <v>4568</v>
      </c>
      <c r="O5" s="35">
        <f>IFERROR(K5/N5,"")</f>
        <v/>
      </c>
      <c r="P5" s="37">
        <f>IFERROR(L5/K5,"")</f>
        <v/>
      </c>
      <c r="Q5" s="45" t="n"/>
      <c r="R5" s="41" t="inlineStr">
        <is>
          <t>love!など。ポジティブな感情の反応</t>
        </is>
      </c>
      <c r="S5" s="30" t="n"/>
    </row>
    <row r="6" ht="96" customHeight="1" s="51">
      <c r="A6" s="17" t="n">
        <v>2</v>
      </c>
      <c r="B6" s="18" t="n">
        <v>45987</v>
      </c>
      <c r="C6" s="23" t="inlineStr">
        <is>
          <t>https://www.instagram.com/reel/DRgiXB_jITA/</t>
        </is>
      </c>
      <c r="D6" s="43" t="inlineStr">
        <is>
          <t>リール（動画）</t>
        </is>
      </c>
      <c r="E6" s="43" t="inlineStr">
        <is>
          <t>教育</t>
        </is>
      </c>
      <c r="F6" s="30" t="inlineStr">
        <is>
          <t>韓国語を学ぼう（連載）</t>
        </is>
      </c>
      <c r="G6" s="43" t="inlineStr">
        <is>
          <t>ハウツー・解説（教える）</t>
        </is>
      </c>
      <c r="H6" s="43" t="inlineStr">
        <is>
          <t>コミュニティ形成（ファンとの交流）</t>
        </is>
      </c>
      <c r="I6" s="30" t="n"/>
      <c r="J6" s="31" t="n">
        <v>53</v>
      </c>
      <c r="K6" s="32" t="n">
        <v>7885</v>
      </c>
      <c r="L6" s="32" t="n">
        <v>287</v>
      </c>
      <c r="M6" s="32" t="n">
        <v>1</v>
      </c>
      <c r="N6" s="32" t="n">
        <v>4568</v>
      </c>
      <c r="O6" s="35">
        <f>IFERROR(K6/N6,"")</f>
        <v/>
      </c>
      <c r="P6" s="37">
        <f>IFERROR(L6/K6,"")</f>
        <v/>
      </c>
      <c r="Q6" s="30" t="n"/>
      <c r="R6" s="41" t="n"/>
      <c r="S6" s="30" t="n"/>
    </row>
    <row r="7" ht="96" customHeight="1" s="51">
      <c r="A7" s="17" t="n">
        <v>3</v>
      </c>
      <c r="B7" s="18" t="n">
        <v>45980</v>
      </c>
      <c r="C7" s="23" t="inlineStr">
        <is>
          <t>https://www.instagram.com/reel/DRO6sigjdN9/</t>
        </is>
      </c>
      <c r="D7" s="43" t="inlineStr">
        <is>
          <t>リール（動画）</t>
        </is>
      </c>
      <c r="E7" s="43" t="inlineStr">
        <is>
          <t>農業・農村開発</t>
        </is>
      </c>
      <c r="F7" s="30" t="inlineStr">
        <is>
          <t>統合的農村開発事業の受益者シャフザダさん</t>
        </is>
      </c>
      <c r="G7" s="43" t="inlineStr">
        <is>
          <t>個人の物語（1人称の語り）</t>
        </is>
      </c>
      <c r="H7" s="43" t="inlineStr">
        <is>
          <t>認知拡大（知ってもらう）</t>
        </is>
      </c>
      <c r="I7" s="30" t="n"/>
      <c r="J7" s="31" t="n">
        <v>60</v>
      </c>
      <c r="K7" s="32" t="n">
        <v>5239</v>
      </c>
      <c r="L7" s="32" t="n">
        <v>109</v>
      </c>
      <c r="M7" s="32" t="n">
        <v>5</v>
      </c>
      <c r="N7" s="32" t="n">
        <v>4568</v>
      </c>
      <c r="O7" s="35">
        <f>IFERROR(K7/N7,"")</f>
        <v/>
      </c>
      <c r="P7" s="37">
        <f>IFERROR(L7/K7,"")</f>
        <v/>
      </c>
      <c r="Q7" s="30" t="n"/>
      <c r="R7" s="41" t="n"/>
      <c r="S7" s="30" t="n"/>
    </row>
    <row r="8" ht="96" customHeight="1" s="51">
      <c r="A8" s="17" t="n">
        <v>4</v>
      </c>
      <c r="B8" s="18" t="n">
        <v>45384</v>
      </c>
      <c r="C8" s="23" t="inlineStr">
        <is>
          <t>https://www.instagram.com/reel/C5QALtSMaQD/</t>
        </is>
      </c>
      <c r="D8" s="43" t="inlineStr">
        <is>
          <t>リール（動画）</t>
        </is>
      </c>
      <c r="E8" s="43" t="inlineStr">
        <is>
          <t>防災</t>
        </is>
      </c>
      <c r="F8" s="30" t="inlineStr">
        <is>
          <t>消防救助隊舎4棟の建設</t>
        </is>
      </c>
      <c r="G8" s="43" t="inlineStr">
        <is>
          <t>ドキュメンタリー形式</t>
        </is>
      </c>
      <c r="H8" s="43" t="inlineStr">
        <is>
          <t>実績・成果の報告（説明責任）</t>
        </is>
      </c>
      <c r="I8" s="44" t="n"/>
      <c r="J8" s="31" t="n">
        <v>90</v>
      </c>
      <c r="K8" s="32" t="n">
        <v>4845</v>
      </c>
      <c r="L8" s="32" t="n">
        <v>91</v>
      </c>
      <c r="M8" s="32" t="n">
        <v>0</v>
      </c>
      <c r="N8" s="32" t="n">
        <v>4568</v>
      </c>
      <c r="O8" s="35">
        <f>IFERROR(K8/N8,"")</f>
        <v/>
      </c>
      <c r="P8" s="37">
        <f>IFERROR(L8/K8,"")</f>
        <v/>
      </c>
      <c r="Q8" s="30" t="n"/>
      <c r="R8" s="41" t="n"/>
      <c r="S8" s="30" t="n"/>
    </row>
    <row r="9" ht="96" customHeight="1" s="51">
      <c r="A9" s="17" t="n">
        <v>5</v>
      </c>
      <c r="B9" s="18" t="n">
        <v>45998</v>
      </c>
      <c r="C9" s="23" t="inlineStr">
        <is>
          <t>https://www.instagram.com/reel/DR84NWLAquU/</t>
        </is>
      </c>
      <c r="D9" s="43" t="inlineStr">
        <is>
          <t>リール（動画）</t>
        </is>
      </c>
      <c r="E9" s="43" t="inlineStr">
        <is>
          <t>民間連携・ビジネス</t>
        </is>
      </c>
      <c r="F9" s="45" t="inlineStr">
        <is>
          <t>Makerthon 2025／Fablab Bishkek</t>
        </is>
      </c>
      <c r="G9" s="43" t="inlineStr">
        <is>
          <t>告知・お知らせのみ</t>
        </is>
      </c>
      <c r="H9" s="43" t="inlineStr">
        <is>
          <t>認知拡大（知ってもらう）</t>
        </is>
      </c>
      <c r="I9" s="44" t="n"/>
      <c r="J9" s="31" t="n">
        <v>88</v>
      </c>
      <c r="K9" s="32" t="n">
        <v>4822</v>
      </c>
      <c r="L9" s="32" t="n">
        <v>3</v>
      </c>
      <c r="M9" s="32" t="n">
        <v>8</v>
      </c>
      <c r="N9" s="32" t="n">
        <v>4568</v>
      </c>
      <c r="O9" s="35">
        <f>IFERROR(K9/N9,"")</f>
        <v/>
      </c>
      <c r="P9" s="37">
        <f>IFERROR(L9/K9,"")</f>
        <v/>
      </c>
      <c r="Q9" s="30" t="n"/>
      <c r="R9" s="41" t="n"/>
      <c r="S9" s="30" t="n"/>
    </row>
    <row r="10" ht="96" customHeight="1" s="51">
      <c r="A10" s="17" t="n">
        <v>6</v>
      </c>
      <c r="B10" s="18" t="n">
        <v>45795</v>
      </c>
      <c r="C10" s="23" t="inlineStr">
        <is>
          <t>https://www.instagram.com/reel/DJyhfMMssEw/</t>
        </is>
      </c>
      <c r="D10" s="43" t="inlineStr">
        <is>
          <t>リール（動画）</t>
        </is>
      </c>
      <c r="E10" s="43" t="inlineStr">
        <is>
          <t>環境・気候変動</t>
        </is>
      </c>
      <c r="F10" s="30" t="inlineStr">
        <is>
          <t>エコトレーナー認定研修（Tazar）</t>
        </is>
      </c>
      <c r="G10" s="43" t="inlineStr">
        <is>
          <t>舞台裏（Behind the scenes）</t>
        </is>
      </c>
      <c r="H10" s="43" t="inlineStr">
        <is>
          <t>事業内容の理解促進</t>
        </is>
      </c>
      <c r="I10" s="44" t="n"/>
      <c r="J10" s="31" t="n">
        <v>76</v>
      </c>
      <c r="K10" s="32" t="n">
        <v>4585</v>
      </c>
      <c r="L10" s="32" t="n">
        <v>135</v>
      </c>
      <c r="M10" s="32" t="n">
        <v>2</v>
      </c>
      <c r="N10" s="32" t="n">
        <v>4568</v>
      </c>
      <c r="O10" s="35">
        <f>IFERROR(K10/N10,"")</f>
        <v/>
      </c>
      <c r="P10" s="37">
        <f>IFERROR(L10/K10,"")</f>
        <v/>
      </c>
      <c r="Q10" s="30" t="n"/>
      <c r="R10" s="41" t="n"/>
      <c r="S10" s="30" t="n"/>
    </row>
    <row r="11" ht="96" customHeight="1" s="51">
      <c r="A11" s="17" t="n">
        <v>7</v>
      </c>
      <c r="B11" s="18" t="n">
        <v>45924</v>
      </c>
      <c r="C11" s="23" t="inlineStr">
        <is>
          <t>https://www.instagram.com/reel/DO-mUshjD9l/</t>
        </is>
      </c>
      <c r="D11" s="43" t="inlineStr">
        <is>
          <t>リール（動画）</t>
        </is>
      </c>
      <c r="E11" s="43" t="inlineStr">
        <is>
          <t>教育</t>
        </is>
      </c>
      <c r="F11" s="30" t="inlineStr">
        <is>
          <t>韓国語を学ぼう（韓国人同僚のカバンの中身）</t>
        </is>
      </c>
      <c r="G11" s="43" t="inlineStr">
        <is>
          <t>ハウツー・解説（教える）</t>
        </is>
      </c>
      <c r="H11" s="43" t="inlineStr">
        <is>
          <t>コミュニティ形成（ファンとの交流）</t>
        </is>
      </c>
      <c r="I11" s="30" t="n"/>
      <c r="J11" s="31" t="n">
        <v>85</v>
      </c>
      <c r="K11" s="32" t="n">
        <v>3766</v>
      </c>
      <c r="L11" s="32" t="n">
        <v>145</v>
      </c>
      <c r="M11" s="32" t="n">
        <v>3</v>
      </c>
      <c r="N11" s="32" t="n">
        <v>4568</v>
      </c>
      <c r="O11" s="35">
        <f>IFERROR(K11/N11,"")</f>
        <v/>
      </c>
      <c r="P11" s="37">
        <f>IFERROR(L11/K11,"")</f>
        <v/>
      </c>
      <c r="Q11" s="30" t="n"/>
      <c r="R11" s="41" t="n"/>
      <c r="S11" s="30" t="n"/>
    </row>
    <row r="12" ht="96" customHeight="1" s="51">
      <c r="A12" s="17" t="n">
        <v>8</v>
      </c>
      <c r="B12" s="18" t="n">
        <v>46176</v>
      </c>
      <c r="C12" s="23" t="inlineStr">
        <is>
          <t>https://www.instagram.com/reel/DZHphIEsElO/</t>
        </is>
      </c>
      <c r="D12" s="43" t="inlineStr">
        <is>
          <t>リール（動画）</t>
        </is>
      </c>
      <c r="E12" s="43" t="inlineStr">
        <is>
          <t>農業・農村開発</t>
        </is>
      </c>
      <c r="F12" s="30" t="inlineStr">
        <is>
          <t>農村総合開発事業フェーズ2の開所式</t>
        </is>
      </c>
      <c r="G12" s="43" t="inlineStr">
        <is>
          <t>告知・お知らせのみ</t>
        </is>
      </c>
      <c r="H12" s="43" t="inlineStr">
        <is>
          <t>実績・成果の報告（説明責任）</t>
        </is>
      </c>
      <c r="I12" s="45" t="n"/>
      <c r="J12" s="31" t="n">
        <v>59</v>
      </c>
      <c r="K12" s="32" t="n">
        <v>3566</v>
      </c>
      <c r="L12" s="32" t="n">
        <v>81</v>
      </c>
      <c r="M12" s="32" t="n">
        <v>3</v>
      </c>
      <c r="N12" s="32" t="n">
        <v>4568</v>
      </c>
      <c r="O12" s="35">
        <f>IFERROR(K12/N12,"")</f>
        <v/>
      </c>
      <c r="P12" s="37">
        <f>IFERROR(L12/K12,"")</f>
        <v/>
      </c>
      <c r="Q12" s="30" t="n"/>
      <c r="R12" s="41" t="n"/>
      <c r="S12" s="30" t="n"/>
    </row>
    <row r="13" ht="96" customHeight="1" s="51">
      <c r="A13" s="17" t="n">
        <v>9</v>
      </c>
      <c r="B13" s="18" t="n">
        <v>45269</v>
      </c>
      <c r="C13" s="23" t="inlineStr">
        <is>
          <t>https://www.instagram.com/reel/C0o7EDasJZJ/</t>
        </is>
      </c>
      <c r="D13" s="43" t="inlineStr">
        <is>
          <t>リール（動画）</t>
        </is>
      </c>
      <c r="E13" s="43" t="inlineStr">
        <is>
          <t>防災</t>
        </is>
      </c>
      <c r="F13" s="30" t="inlineStr">
        <is>
          <t>チョルポンアタ消防署の完成式典</t>
        </is>
      </c>
      <c r="G13" s="43" t="inlineStr">
        <is>
          <t>告知・お知らせのみ</t>
        </is>
      </c>
      <c r="H13" s="43" t="inlineStr">
        <is>
          <t>実績・成果の報告（説明責任）</t>
        </is>
      </c>
      <c r="I13" s="30" t="n"/>
      <c r="J13" s="31" t="n">
        <v>27</v>
      </c>
      <c r="K13" s="32" t="n">
        <v>3523</v>
      </c>
      <c r="L13" s="32" t="n">
        <v>67</v>
      </c>
      <c r="M13" s="32" t="n">
        <v>0</v>
      </c>
      <c r="N13" s="32" t="n">
        <v>4568</v>
      </c>
      <c r="O13" s="35">
        <f>IFERROR(K13/N13,"")</f>
        <v/>
      </c>
      <c r="P13" s="37">
        <f>IFERROR(L13/K13,"")</f>
        <v/>
      </c>
      <c r="Q13" s="30" t="n"/>
      <c r="R13" s="41" t="n"/>
      <c r="S13" s="30" t="n"/>
    </row>
    <row r="14" ht="96" customHeight="1" s="51">
      <c r="A14" s="17" t="n">
        <v>10</v>
      </c>
      <c r="B14" s="18" t="n">
        <v>45947</v>
      </c>
      <c r="C14" s="23" t="inlineStr">
        <is>
          <t>https://www.instagram.com/reel/DP5Qsb1jhbe/</t>
        </is>
      </c>
      <c r="D14" s="43" t="inlineStr">
        <is>
          <t>リール（動画）</t>
        </is>
      </c>
      <c r="E14" s="43" t="inlineStr">
        <is>
          <t>実績・数字の報告</t>
        </is>
      </c>
      <c r="F14" s="45" t="inlineStr">
        <is>
          <t>KOICAキルギス事務所10周年（ロシア語）</t>
        </is>
      </c>
      <c r="G14" s="43" t="inlineStr">
        <is>
          <t>ドキュメンタリー形式</t>
        </is>
      </c>
      <c r="H14" s="43" t="inlineStr">
        <is>
          <t>実績・成果の報告（説明責任）</t>
        </is>
      </c>
      <c r="I14" s="30" t="n"/>
      <c r="J14" s="31" t="n">
        <v>265</v>
      </c>
      <c r="K14" s="32" t="n">
        <v>3427</v>
      </c>
      <c r="L14" s="32" t="n">
        <v>82</v>
      </c>
      <c r="M14" s="32" t="n">
        <v>1</v>
      </c>
      <c r="N14" s="32" t="n">
        <v>4568</v>
      </c>
      <c r="O14" s="35">
        <f>IFERROR(K14/N14,"")</f>
        <v/>
      </c>
      <c r="P14" s="37">
        <f>IFERROR(L14/K14,"")</f>
        <v/>
      </c>
      <c r="Q14" s="30" t="n"/>
      <c r="R14" s="41" t="n"/>
      <c r="S14" s="45" t="n"/>
    </row>
    <row r="15" ht="96" customHeight="1" s="51">
      <c r="A15" s="17" t="n">
        <v>11</v>
      </c>
      <c r="B15" s="18" t="n">
        <v>45331</v>
      </c>
      <c r="C15" s="23" t="inlineStr">
        <is>
          <t>https://www.instagram.com/reel/C3HdfCrIbQx/</t>
        </is>
      </c>
      <c r="D15" s="43" t="inlineStr">
        <is>
          <t>リール（動画）</t>
        </is>
      </c>
      <c r="E15" s="43" t="inlineStr">
        <is>
          <t>その他</t>
        </is>
      </c>
      <c r="F15" s="30" t="inlineStr">
        <is>
          <t>新年のあいさつ（4言語）</t>
        </is>
      </c>
      <c r="G15" s="43" t="inlineStr">
        <is>
          <t>告知・お知らせのみ</t>
        </is>
      </c>
      <c r="H15" s="43" t="inlineStr">
        <is>
          <t>コミュニティ形成（ファンとの交流）</t>
        </is>
      </c>
      <c r="I15" s="30" t="n"/>
      <c r="J15" s="31" t="n">
        <v>62</v>
      </c>
      <c r="K15" s="32" t="n">
        <v>3361</v>
      </c>
      <c r="L15" s="32" t="n">
        <v>99</v>
      </c>
      <c r="M15" s="32" t="n">
        <v>3</v>
      </c>
      <c r="N15" s="32" t="n">
        <v>4568</v>
      </c>
      <c r="O15" s="35">
        <f>IFERROR(K15/N15,"")</f>
        <v/>
      </c>
      <c r="P15" s="37">
        <f>IFERROR(L15/K15,"")</f>
        <v/>
      </c>
      <c r="Q15" s="45" t="n"/>
      <c r="R15" s="41" t="n"/>
      <c r="S15" s="30" t="n"/>
    </row>
    <row r="16" ht="96" customHeight="1" s="51">
      <c r="A16" s="17" t="n">
        <v>12</v>
      </c>
      <c r="B16" s="18" t="n">
        <v>46097</v>
      </c>
      <c r="C16" s="23" t="inlineStr">
        <is>
          <t>https://www.instagram.com/reel/DV7rDJPDgYV/</t>
        </is>
      </c>
      <c r="D16" s="43" t="inlineStr">
        <is>
          <t>リール（動画）</t>
        </is>
      </c>
      <c r="E16" s="43" t="inlineStr">
        <is>
          <t>職員・スタッフ紹介</t>
        </is>
      </c>
      <c r="F16" s="30" t="inlineStr">
        <is>
          <t>韓国本部の同僚が現地視察</t>
        </is>
      </c>
      <c r="G16" s="43" t="inlineStr">
        <is>
          <t>トレンド音源・ミーム便乗</t>
        </is>
      </c>
      <c r="H16" s="43" t="inlineStr">
        <is>
          <t>共感・親近感の醸成</t>
        </is>
      </c>
      <c r="I16" s="30" t="n"/>
      <c r="J16" s="31" t="n">
        <v>27</v>
      </c>
      <c r="K16" s="32" t="n">
        <v>3145</v>
      </c>
      <c r="L16" s="32" t="n">
        <v>81</v>
      </c>
      <c r="M16" s="32" t="n">
        <v>0</v>
      </c>
      <c r="N16" s="32" t="n">
        <v>4568</v>
      </c>
      <c r="O16" s="35">
        <f>IFERROR(K16/N16,"")</f>
        <v/>
      </c>
      <c r="P16" s="37">
        <f>IFERROR(L16/K16,"")</f>
        <v/>
      </c>
      <c r="Q16" s="30" t="n"/>
      <c r="R16" s="41" t="n"/>
      <c r="S16" s="30" t="n"/>
    </row>
    <row r="17" ht="96" customHeight="1" s="51">
      <c r="A17" s="17" t="n">
        <v>13</v>
      </c>
      <c r="B17" s="18" t="n">
        <v>46203</v>
      </c>
      <c r="C17" s="23" t="inlineStr">
        <is>
          <t>https://www.instagram.com/reel/DaMdZ3DJONL/</t>
        </is>
      </c>
      <c r="D17" s="43" t="inlineStr">
        <is>
          <t>リール（動画）</t>
        </is>
      </c>
      <c r="E17" s="43" t="inlineStr">
        <is>
          <t>教育</t>
        </is>
      </c>
      <c r="F17" s="30" t="inlineStr">
        <is>
          <t>韓国語を学ぼう（合成語：눈＋사람）</t>
        </is>
      </c>
      <c r="G17" s="43" t="inlineStr">
        <is>
          <t>ハウツー・解説（教える）</t>
        </is>
      </c>
      <c r="H17" s="43" t="inlineStr">
        <is>
          <t>コミュニティ形成（ファンとの交流）</t>
        </is>
      </c>
      <c r="I17" s="30" t="n"/>
      <c r="J17" s="31" t="n">
        <v>59</v>
      </c>
      <c r="K17" s="32" t="n">
        <v>2964</v>
      </c>
      <c r="L17" s="32" t="n">
        <v>114</v>
      </c>
      <c r="M17" s="32" t="n">
        <v>9</v>
      </c>
      <c r="N17" s="32" t="n">
        <v>4568</v>
      </c>
      <c r="O17" s="35">
        <f>IFERROR(K17/N17,"")</f>
        <v/>
      </c>
      <c r="P17" s="37">
        <f>IFERROR(L17/K17,"")</f>
        <v/>
      </c>
      <c r="Q17" s="30" t="n"/>
      <c r="R17" s="41" t="n"/>
      <c r="S17" s="30" t="n"/>
    </row>
    <row r="18" ht="96" customHeight="1" s="51">
      <c r="A18" s="17" t="n">
        <v>14</v>
      </c>
      <c r="B18" s="18" t="n">
        <v>46097</v>
      </c>
      <c r="C18" s="23" t="inlineStr">
        <is>
          <t>https://www.instagram.com/reel/DV7xteRCAYX/</t>
        </is>
      </c>
      <c r="D18" s="43" t="inlineStr">
        <is>
          <t>リール（動画）</t>
        </is>
      </c>
      <c r="E18" s="43" t="inlineStr">
        <is>
          <t>民間連携・ビジネス</t>
        </is>
      </c>
      <c r="F18" s="45" t="inlineStr">
        <is>
          <t>Hyundai から EV 10台の納車</t>
        </is>
      </c>
      <c r="G18" s="43" t="inlineStr">
        <is>
          <t>ドキュメンタリー形式</t>
        </is>
      </c>
      <c r="H18" s="43" t="inlineStr">
        <is>
          <t>認知拡大（知ってもらう）</t>
        </is>
      </c>
      <c r="I18" s="30" t="n"/>
      <c r="J18" s="31" t="n">
        <v>43</v>
      </c>
      <c r="K18" s="32" t="n">
        <v>2601</v>
      </c>
      <c r="L18" s="32" t="n">
        <v>56</v>
      </c>
      <c r="M18" s="32" t="n">
        <v>2</v>
      </c>
      <c r="N18" s="32" t="n">
        <v>4568</v>
      </c>
      <c r="O18" s="35">
        <f>IFERROR(K18/N18,"")</f>
        <v/>
      </c>
      <c r="P18" s="37">
        <f>IFERROR(L18/K18,"")</f>
        <v/>
      </c>
      <c r="Q18" s="30" t="n"/>
      <c r="R18" s="41" t="n"/>
      <c r="S18" s="30" t="n"/>
    </row>
    <row r="19" ht="96" customHeight="1" s="51">
      <c r="A19" s="17" t="n">
        <v>15</v>
      </c>
      <c r="B19" s="18" t="n">
        <v>45558</v>
      </c>
      <c r="C19" s="23" t="inlineStr">
        <is>
          <t>https://www.instagram.com/reel/DAPphpzI2un/</t>
        </is>
      </c>
      <c r="D19" s="43" t="inlineStr">
        <is>
          <t>リール（動画）</t>
        </is>
      </c>
      <c r="E19" s="43" t="inlineStr">
        <is>
          <t>現地の文化・暮らし</t>
        </is>
      </c>
      <c r="F19" s="30" t="inlineStr">
        <is>
          <t>国家言語の日</t>
        </is>
      </c>
      <c r="G19" s="43" t="inlineStr">
        <is>
          <t>告知・お知らせのみ</t>
        </is>
      </c>
      <c r="H19" s="43" t="inlineStr">
        <is>
          <t>コミュニティ形成（ファンとの交流）</t>
        </is>
      </c>
      <c r="I19" s="30" t="n"/>
      <c r="J19" s="31" t="n">
        <v>27</v>
      </c>
      <c r="K19" s="32" t="n">
        <v>2592</v>
      </c>
      <c r="L19" s="32" t="n">
        <v>110</v>
      </c>
      <c r="M19" s="32" t="n">
        <v>1</v>
      </c>
      <c r="N19" s="32" t="n">
        <v>4568</v>
      </c>
      <c r="O19" s="35">
        <f>IFERROR(K19/N19,"")</f>
        <v/>
      </c>
      <c r="P19" s="37">
        <f>IFERROR(L19/K19,"")</f>
        <v/>
      </c>
      <c r="Q19" s="30" t="n"/>
      <c r="R19" s="41" t="n"/>
      <c r="S19" s="30" t="n"/>
    </row>
    <row r="20" ht="96" customHeight="1" s="51">
      <c r="A20" s="17" t="n">
        <v>16</v>
      </c>
      <c r="B20" s="18" t="n">
        <v>45947</v>
      </c>
      <c r="C20" s="23" t="inlineStr">
        <is>
          <t>https://www.instagram.com/reel/DP5Prn7Du6O/</t>
        </is>
      </c>
      <c r="D20" s="43" t="inlineStr">
        <is>
          <t>リール（動画）</t>
        </is>
      </c>
      <c r="E20" s="43" t="inlineStr">
        <is>
          <t>実績・数字の報告</t>
        </is>
      </c>
      <c r="F20" s="45" t="inlineStr">
        <is>
          <t>10周年（キルギス語版）</t>
        </is>
      </c>
      <c r="G20" s="43" t="inlineStr">
        <is>
          <t>データ・数字で驚かせる</t>
        </is>
      </c>
      <c r="H20" s="43" t="inlineStr">
        <is>
          <t>実績・成果の報告（説明責任）</t>
        </is>
      </c>
      <c r="I20" s="30" t="n"/>
      <c r="J20" s="31" t="n">
        <v>274</v>
      </c>
      <c r="K20" s="32" t="n">
        <v>2531</v>
      </c>
      <c r="L20" s="32" t="n">
        <v>54</v>
      </c>
      <c r="M20" s="32" t="n">
        <v>1</v>
      </c>
      <c r="N20" s="32" t="n">
        <v>4568</v>
      </c>
      <c r="O20" s="35">
        <f>IFERROR(K20/N20,"")</f>
        <v/>
      </c>
      <c r="P20" s="37">
        <f>IFERROR(L20/K20,"")</f>
        <v/>
      </c>
      <c r="Q20" s="30" t="n"/>
      <c r="R20" s="41" t="n"/>
      <c r="S20" s="30" t="n"/>
    </row>
    <row r="21" ht="96" customHeight="1" s="51">
      <c r="A21" s="17" t="n">
        <v>17</v>
      </c>
      <c r="B21" s="18" t="n">
        <v>46204</v>
      </c>
      <c r="C21" s="23" t="inlineStr">
        <is>
          <t>https://www.instagram.com/reel/DaP3N6Fh90C/</t>
        </is>
      </c>
      <c r="D21" s="43" t="inlineStr">
        <is>
          <t>リール（動画）</t>
        </is>
      </c>
      <c r="E21" s="43" t="inlineStr">
        <is>
          <t>現地の文化・暮らし</t>
        </is>
      </c>
      <c r="F21" s="30" t="inlineStr">
        <is>
          <t>ビビンバとクルットの料理文化イベント</t>
        </is>
      </c>
      <c r="G21" s="43" t="inlineStr">
        <is>
          <t>告知・お知らせのみ</t>
        </is>
      </c>
      <c r="H21" s="43" t="inlineStr">
        <is>
          <t>コミュニティ形成（ファンとの交流）</t>
        </is>
      </c>
      <c r="I21" s="45" t="n"/>
      <c r="J21" s="31" t="n">
        <v>60</v>
      </c>
      <c r="K21" s="32" t="n">
        <v>2403</v>
      </c>
      <c r="L21" s="32" t="n">
        <v>70</v>
      </c>
      <c r="M21" s="32" t="n">
        <v>0</v>
      </c>
      <c r="N21" s="32" t="n">
        <v>4568</v>
      </c>
      <c r="O21" s="35">
        <f>IFERROR(K21/N21,"")</f>
        <v/>
      </c>
      <c r="P21" s="37">
        <f>IFERROR(L21/K21,"")</f>
        <v/>
      </c>
      <c r="Q21" s="30" t="n"/>
      <c r="R21" s="41" t="n"/>
      <c r="S21" s="30" t="n"/>
    </row>
    <row r="22" ht="96" customHeight="1" s="51">
      <c r="A22" s="17" t="n">
        <v>18</v>
      </c>
      <c r="B22" s="18" t="n">
        <v>45210</v>
      </c>
      <c r="C22" s="23" t="inlineStr">
        <is>
          <t>https://www.instagram.com/reel/CyQzmDSoq4V/</t>
        </is>
      </c>
      <c r="D22" s="43" t="inlineStr">
        <is>
          <t>リール（動画）</t>
        </is>
      </c>
      <c r="E22" s="43" t="inlineStr">
        <is>
          <t>イベント・キャンペーン告知</t>
        </is>
      </c>
      <c r="F22" s="45" t="inlineStr">
        <is>
          <t>Organic Expo への招待</t>
        </is>
      </c>
      <c r="G22" s="43" t="inlineStr">
        <is>
          <t>告知・お知らせのみ</t>
        </is>
      </c>
      <c r="H22" s="43" t="inlineStr">
        <is>
          <t>応募・参加の促進</t>
        </is>
      </c>
      <c r="I22" s="30" t="n"/>
      <c r="J22" s="31" t="n">
        <v>85</v>
      </c>
      <c r="K22" s="32" t="n">
        <v>2351</v>
      </c>
      <c r="L22" s="32" t="n">
        <v>52</v>
      </c>
      <c r="M22" s="32" t="n">
        <v>0</v>
      </c>
      <c r="N22" s="32" t="n">
        <v>4568</v>
      </c>
      <c r="O22" s="35">
        <f>IFERROR(K22/N22,"")</f>
        <v/>
      </c>
      <c r="P22" s="37">
        <f>IFERROR(L22/K22,"")</f>
        <v/>
      </c>
      <c r="Q22" s="30" t="n"/>
      <c r="R22" s="41" t="n"/>
      <c r="S22" s="30" t="n"/>
    </row>
    <row r="23" ht="96" customHeight="1" s="51">
      <c r="A23" s="17" t="n">
        <v>19</v>
      </c>
      <c r="B23" s="18" t="n">
        <v>45964</v>
      </c>
      <c r="C23" s="23" t="inlineStr">
        <is>
          <t>https://www.instagram.com/reel/DQlERUaDEYC/</t>
        </is>
      </c>
      <c r="D23" s="43" t="inlineStr">
        <is>
          <t>リール（動画）</t>
        </is>
      </c>
      <c r="E23" s="43" t="inlineStr">
        <is>
          <t>教育</t>
        </is>
      </c>
      <c r="F23" s="30" t="inlineStr">
        <is>
          <t>韓国語を学ぼう（誕生日のフレーズ）</t>
        </is>
      </c>
      <c r="G23" s="43" t="inlineStr">
        <is>
          <t>ハウツー・解説（教える）</t>
        </is>
      </c>
      <c r="H23" s="43" t="inlineStr">
        <is>
          <t>コミュニティ形成（ファンとの交流）</t>
        </is>
      </c>
      <c r="I23" s="30" t="n"/>
      <c r="J23" s="31" t="n">
        <v>33</v>
      </c>
      <c r="K23" s="32" t="n">
        <v>2350</v>
      </c>
      <c r="L23" s="32" t="n">
        <v>46</v>
      </c>
      <c r="M23" s="32" t="n">
        <v>2</v>
      </c>
      <c r="N23" s="32" t="n">
        <v>4568</v>
      </c>
      <c r="O23" s="35">
        <f>IFERROR(K23/N23,"")</f>
        <v/>
      </c>
      <c r="P23" s="37">
        <f>IFERROR(L23/K23,"")</f>
        <v/>
      </c>
      <c r="Q23" s="30" t="n"/>
      <c r="R23" s="41" t="n"/>
      <c r="S23" s="45" t="n"/>
    </row>
    <row r="24" ht="96" customHeight="1" s="51">
      <c r="A24" s="17" t="n">
        <v>20</v>
      </c>
      <c r="B24" s="18" t="n">
        <v>45733</v>
      </c>
      <c r="C24" s="23" t="inlineStr">
        <is>
          <t>https://www.instagram.com/reel/DHSwjBUssxN/</t>
        </is>
      </c>
      <c r="D24" s="43" t="inlineStr">
        <is>
          <t>リール（動画）</t>
        </is>
      </c>
      <c r="E24" s="43" t="inlineStr">
        <is>
          <t>教育</t>
        </is>
      </c>
      <c r="F24" s="30" t="inlineStr">
        <is>
          <t>韓国語の早口言葉</t>
        </is>
      </c>
      <c r="G24" s="43" t="inlineStr">
        <is>
          <t>あるある・ネタ／ユーモア</t>
        </is>
      </c>
      <c r="H24" s="43" t="inlineStr">
        <is>
          <t>コミュニティ形成（ファンとの交流）</t>
        </is>
      </c>
      <c r="I24" s="30" t="n"/>
      <c r="J24" s="31" t="n">
        <v>92</v>
      </c>
      <c r="K24" s="32" t="n">
        <v>2260</v>
      </c>
      <c r="L24" s="32" t="n">
        <v>58</v>
      </c>
      <c r="M24" s="32" t="n">
        <v>2</v>
      </c>
      <c r="N24" s="32" t="n">
        <v>4568</v>
      </c>
      <c r="O24" s="35">
        <f>IFERROR(K24/N24,"")</f>
        <v/>
      </c>
      <c r="P24" s="37">
        <f>IFERROR(L24/K24,"")</f>
        <v/>
      </c>
      <c r="Q24" s="30" t="n"/>
      <c r="R24" s="41" t="n"/>
      <c r="S24" s="30" t="n"/>
    </row>
    <row r="25" ht="15.75" customHeight="1" s="51"/>
    <row r="26" ht="15.75" customHeight="1" s="51">
      <c r="I26" s="46" t="inlineStr">
        <is>
          <t>上位20件の平均 →</t>
        </is>
      </c>
      <c r="J26" s="47">
        <f>IFERROR(AVERAGE(J5:J24),"")</f>
        <v/>
      </c>
      <c r="K26" s="48">
        <f>IFERROR(AVERAGE(K5:K24),"")</f>
        <v/>
      </c>
      <c r="L26" s="48">
        <f>IFERROR(AVERAGE(L5:L24),"")</f>
        <v/>
      </c>
      <c r="M26" s="48">
        <f>IFERROR(AVERAGE(M5:M24),"")</f>
        <v/>
      </c>
      <c r="O26" s="49">
        <f>IFERROR(AVERAGE(O5:O24),"")</f>
        <v/>
      </c>
      <c r="P26" s="50">
        <f>IFERROR(AVERAGE(P5:P24),"")</f>
        <v/>
      </c>
    </row>
    <row r="27" ht="15.75" customHeight="1" s="51"/>
    <row r="28" ht="15.75" customHeight="1" s="51"/>
    <row r="29" ht="15.75" customHeight="1" s="51"/>
    <row r="30" ht="15.75" customHeight="1" s="51"/>
    <row r="31" ht="15.75" customHeight="1" s="51"/>
    <row r="32" ht="15.75" customHeight="1" s="51"/>
    <row r="33" ht="15.75" customHeight="1" s="51"/>
    <row r="34" ht="15.75" customHeight="1" s="51"/>
    <row r="35" ht="15.75" customHeight="1" s="51"/>
    <row r="36" ht="15.75" customHeight="1" s="51"/>
    <row r="37" ht="15.75" customHeight="1" s="51"/>
    <row r="38" ht="15.75" customHeight="1" s="51"/>
    <row r="39" ht="15.75" customHeight="1" s="51"/>
    <row r="40" ht="15.75" customHeight="1" s="51"/>
    <row r="41" ht="15.75" customHeight="1" s="51"/>
    <row r="42" ht="15.75" customHeight="1" s="51"/>
    <row r="43" ht="15.75" customHeight="1" s="51"/>
    <row r="44" ht="15.75" customHeight="1" s="51"/>
    <row r="45" ht="15.75" customHeight="1" s="51"/>
    <row r="46" ht="15.75" customHeight="1" s="51"/>
    <row r="47" ht="15.75" customHeight="1" s="51"/>
    <row r="48" ht="15.75" customHeight="1" s="51"/>
    <row r="49" ht="15.75" customHeight="1" s="51"/>
    <row r="50" ht="15.75" customHeight="1" s="51"/>
    <row r="51" ht="15.75" customHeight="1" s="51"/>
    <row r="52" ht="15.75" customHeight="1" s="51"/>
    <row r="53" ht="15.75" customHeight="1" s="51"/>
    <row r="54" ht="15.75" customHeight="1" s="51"/>
    <row r="55" ht="15.75" customHeight="1" s="51"/>
    <row r="56" ht="15.75" customHeight="1" s="51"/>
    <row r="57" ht="15.75" customHeight="1" s="51"/>
    <row r="58" ht="15.75" customHeight="1" s="51"/>
    <row r="59" ht="15.75" customHeight="1" s="51"/>
    <row r="60" ht="15.75" customHeight="1" s="51"/>
    <row r="61" ht="15.75" customHeight="1" s="51"/>
    <row r="62" ht="15.75" customHeight="1" s="51"/>
    <row r="63" ht="15.75" customHeight="1" s="51"/>
    <row r="64" ht="15.75" customHeight="1" s="51"/>
    <row r="65" ht="15.75" customHeight="1" s="51"/>
    <row r="66" ht="15.75" customHeight="1" s="51"/>
    <row r="67" ht="15.75" customHeight="1" s="51"/>
    <row r="68" ht="15.75" customHeight="1" s="51"/>
    <row r="69" ht="15.75" customHeight="1" s="51"/>
    <row r="70" ht="15.75" customHeight="1" s="51"/>
    <row r="71" ht="15.75" customHeight="1" s="51"/>
    <row r="72" ht="15.75" customHeight="1" s="51"/>
    <row r="73" ht="15.75" customHeight="1" s="51"/>
    <row r="74" ht="15.75" customHeight="1" s="51"/>
    <row r="75" ht="15.75" customHeight="1" s="51"/>
    <row r="76" ht="15.75" customHeight="1" s="51"/>
    <row r="77" ht="15.75" customHeight="1" s="51"/>
    <row r="78" ht="15.75" customHeight="1" s="51"/>
    <row r="79" ht="15.75" customHeight="1" s="51"/>
    <row r="80" ht="15.75" customHeight="1" s="51"/>
    <row r="81" ht="15.75" customHeight="1" s="51"/>
    <row r="82" ht="15.75" customHeight="1" s="51"/>
    <row r="83" ht="15.75" customHeight="1" s="51"/>
    <row r="84" ht="15.75" customHeight="1" s="51"/>
    <row r="85" ht="15.75" customHeight="1" s="51"/>
    <row r="86" ht="15.75" customHeight="1" s="51"/>
    <row r="87" ht="15.75" customHeight="1" s="51"/>
    <row r="88" ht="15.75" customHeight="1" s="51"/>
    <row r="89" ht="15.75" customHeight="1" s="51"/>
    <row r="90" ht="15.75" customHeight="1" s="51"/>
    <row r="91" ht="15.75" customHeight="1" s="51"/>
    <row r="92" ht="15.75" customHeight="1" s="51"/>
    <row r="93" ht="15.75" customHeight="1" s="51"/>
    <row r="94" ht="15.75" customHeight="1" s="51"/>
    <row r="95" ht="15.75" customHeight="1" s="51"/>
    <row r="96" ht="15.75" customHeight="1" s="51"/>
    <row r="97" ht="15.75" customHeight="1" s="51"/>
    <row r="98" ht="15.75" customHeight="1" s="51"/>
    <row r="99" ht="15.75" customHeight="1" s="51"/>
    <row r="100" ht="15.75" customHeight="1" s="51"/>
    <row r="101" ht="15.75" customHeight="1" s="51"/>
    <row r="102" ht="15.75" customHeight="1" s="51"/>
    <row r="103" ht="15.75" customHeight="1" s="51"/>
    <row r="104" ht="15.75" customHeight="1" s="51"/>
    <row r="105" ht="15.75" customHeight="1" s="51"/>
    <row r="106" ht="15.75" customHeight="1" s="51"/>
    <row r="107" ht="15.75" customHeight="1" s="51"/>
    <row r="108" ht="15.75" customHeight="1" s="51"/>
    <row r="109" ht="15.75" customHeight="1" s="51"/>
    <row r="110" ht="15.75" customHeight="1" s="51"/>
    <row r="111" ht="15.75" customHeight="1" s="51"/>
    <row r="112" ht="15.75" customHeight="1" s="51"/>
    <row r="113" ht="15.75" customHeight="1" s="51"/>
    <row r="114" ht="15.75" customHeight="1" s="51"/>
    <row r="115" ht="15.75" customHeight="1" s="51"/>
    <row r="116" ht="15.75" customHeight="1" s="51"/>
    <row r="117" ht="15.75" customHeight="1" s="51"/>
    <row r="118" ht="15.75" customHeight="1" s="51"/>
    <row r="119" ht="15.75" customHeight="1" s="51"/>
    <row r="120" ht="15.75" customHeight="1" s="51"/>
    <row r="121" ht="15.75" customHeight="1" s="51"/>
    <row r="122" ht="15.75" customHeight="1" s="51"/>
    <row r="123" ht="15.75" customHeight="1" s="51"/>
    <row r="124" ht="15.75" customHeight="1" s="51"/>
    <row r="125" ht="15.75" customHeight="1" s="51"/>
    <row r="126" ht="15.75" customHeight="1" s="51"/>
    <row r="127" ht="15.75" customHeight="1" s="51"/>
    <row r="128" ht="15.75" customHeight="1" s="51"/>
    <row r="129" ht="15.75" customHeight="1" s="51"/>
    <row r="130" ht="15.75" customHeight="1" s="51"/>
    <row r="131" ht="15.75" customHeight="1" s="51"/>
    <row r="132" ht="15.75" customHeight="1" s="51"/>
    <row r="133" ht="15.75" customHeight="1" s="51"/>
    <row r="134" ht="15.75" customHeight="1" s="51"/>
    <row r="135" ht="15.75" customHeight="1" s="51"/>
    <row r="136" ht="15.75" customHeight="1" s="51"/>
    <row r="137" ht="15.75" customHeight="1" s="51"/>
    <row r="138" ht="15.75" customHeight="1" s="51"/>
    <row r="139" ht="15.75" customHeight="1" s="51"/>
    <row r="140" ht="15.75" customHeight="1" s="51"/>
    <row r="141" ht="15.75" customHeight="1" s="51"/>
    <row r="142" ht="15.75" customHeight="1" s="51"/>
    <row r="143" ht="15.75" customHeight="1" s="51"/>
    <row r="144" ht="15.75" customHeight="1" s="51"/>
    <row r="145" ht="15.75" customHeight="1" s="51"/>
    <row r="146" ht="15.75" customHeight="1" s="51"/>
    <row r="147" ht="15.75" customHeight="1" s="51"/>
    <row r="148" ht="15.75" customHeight="1" s="51"/>
    <row r="149" ht="15.75" customHeight="1" s="51"/>
    <row r="150" ht="15.75" customHeight="1" s="51"/>
    <row r="151" ht="15.75" customHeight="1" s="51"/>
    <row r="152" ht="15.75" customHeight="1" s="51"/>
    <row r="153" ht="15.75" customHeight="1" s="51"/>
    <row r="154" ht="15.75" customHeight="1" s="51"/>
    <row r="155" ht="15.75" customHeight="1" s="51"/>
    <row r="156" ht="15.75" customHeight="1" s="51"/>
    <row r="157" ht="15.75" customHeight="1" s="51"/>
    <row r="158" ht="15.75" customHeight="1" s="51"/>
    <row r="159" ht="15.75" customHeight="1" s="51"/>
    <row r="160" ht="15.75" customHeight="1" s="51"/>
    <row r="161" ht="15.75" customHeight="1" s="51"/>
    <row r="162" ht="15.75" customHeight="1" s="51"/>
    <row r="163" ht="15.75" customHeight="1" s="51"/>
    <row r="164" ht="15.75" customHeight="1" s="51"/>
    <row r="165" ht="15.75" customHeight="1" s="51"/>
    <row r="166" ht="15.75" customHeight="1" s="51"/>
    <row r="167" ht="15.75" customHeight="1" s="51"/>
    <row r="168" ht="15.75" customHeight="1" s="51"/>
    <row r="169" ht="15.75" customHeight="1" s="51"/>
    <row r="170" ht="15.75" customHeight="1" s="51"/>
    <row r="171" ht="15.75" customHeight="1" s="51"/>
    <row r="172" ht="15.75" customHeight="1" s="51"/>
    <row r="173" ht="15.75" customHeight="1" s="51"/>
    <row r="174" ht="15.75" customHeight="1" s="51"/>
    <row r="175" ht="15.75" customHeight="1" s="51"/>
    <row r="176" ht="15.75" customHeight="1" s="51"/>
    <row r="177" ht="15.75" customHeight="1" s="51"/>
    <row r="178" ht="15.75" customHeight="1" s="51"/>
    <row r="179" ht="15.75" customHeight="1" s="51"/>
    <row r="180" ht="15.75" customHeight="1" s="51"/>
    <row r="181" ht="15.75" customHeight="1" s="51"/>
    <row r="182" ht="15.75" customHeight="1" s="51"/>
    <row r="183" ht="15.75" customHeight="1" s="51"/>
    <row r="184" ht="15.75" customHeight="1" s="51"/>
    <row r="185" ht="15.75" customHeight="1" s="51"/>
    <row r="186" ht="15.75" customHeight="1" s="51"/>
    <row r="187" ht="15.75" customHeight="1" s="51"/>
    <row r="188" ht="15.75" customHeight="1" s="51"/>
    <row r="189" ht="15.75" customHeight="1" s="51"/>
    <row r="190" ht="15.75" customHeight="1" s="51"/>
    <row r="191" ht="15.75" customHeight="1" s="51"/>
    <row r="192" ht="15.75" customHeight="1" s="51"/>
    <row r="193" ht="15.75" customHeight="1" s="51"/>
    <row r="194" ht="15.75" customHeight="1" s="51"/>
    <row r="195" ht="15.75" customHeight="1" s="51"/>
    <row r="196" ht="15.75" customHeight="1" s="51"/>
    <row r="197" ht="15.75" customHeight="1" s="51"/>
    <row r="198" ht="15.75" customHeight="1" s="51"/>
    <row r="199" ht="15.75" customHeight="1" s="51"/>
    <row r="200" ht="15.75" customHeight="1" s="51"/>
    <row r="201" ht="15.75" customHeight="1" s="51"/>
    <row r="202" ht="15.75" customHeight="1" s="51"/>
    <row r="203" ht="15.75" customHeight="1" s="51"/>
    <row r="204" ht="15.75" customHeight="1" s="51"/>
    <row r="205" ht="15.75" customHeight="1" s="51"/>
    <row r="206" ht="15.75" customHeight="1" s="51"/>
    <row r="207" ht="15.75" customHeight="1" s="51"/>
    <row r="208" ht="15.75" customHeight="1" s="51"/>
    <row r="209" ht="15.75" customHeight="1" s="51"/>
    <row r="210" ht="15.75" customHeight="1" s="51"/>
    <row r="211" ht="15.75" customHeight="1" s="51"/>
    <row r="212" ht="15.75" customHeight="1" s="51"/>
    <row r="213" ht="15.75" customHeight="1" s="51"/>
    <row r="214" ht="15.75" customHeight="1" s="51"/>
    <row r="215" ht="15.75" customHeight="1" s="51"/>
    <row r="216" ht="15.75" customHeight="1" s="51"/>
    <row r="217" ht="15.75" customHeight="1" s="51"/>
    <row r="218" ht="15.75" customHeight="1" s="51"/>
    <row r="219" ht="15.75" customHeight="1" s="51"/>
    <row r="220" ht="15.75" customHeight="1" s="51"/>
    <row r="221" ht="15.75" customHeight="1" s="51"/>
    <row r="222" ht="15.75" customHeight="1" s="51"/>
    <row r="223" ht="15.75" customHeight="1" s="51"/>
    <row r="224" ht="15.75" customHeight="1" s="51"/>
    <row r="225" ht="15.75" customHeight="1" s="51"/>
    <row r="226" ht="15.75" customHeight="1" s="51"/>
    <row r="227" ht="15.75" customHeight="1" s="51"/>
    <row r="228" ht="15.75" customHeight="1" s="51"/>
    <row r="229" ht="15.75" customHeight="1" s="51"/>
    <row r="230" ht="15.75" customHeight="1" s="51"/>
    <row r="231" ht="15.75" customHeight="1" s="51"/>
    <row r="232" ht="15.75" customHeight="1" s="51"/>
    <row r="233" ht="15.75" customHeight="1" s="51"/>
    <row r="234" ht="15.75" customHeight="1" s="51"/>
    <row r="235" ht="15.75" customHeight="1" s="51"/>
    <row r="236" ht="15.75" customHeight="1" s="51"/>
    <row r="237" ht="15.75" customHeight="1" s="51"/>
    <row r="238" ht="15.75" customHeight="1" s="51"/>
    <row r="239" ht="15.75" customHeight="1" s="51"/>
    <row r="240" ht="15.75" customHeight="1" s="51"/>
    <row r="241" ht="15.75" customHeight="1" s="51"/>
    <row r="242" ht="15.75" customHeight="1" s="51"/>
    <row r="243" ht="15.75" customHeight="1" s="51"/>
    <row r="244" ht="15.75" customHeight="1" s="51"/>
    <row r="245" ht="15.75" customHeight="1" s="51"/>
    <row r="246" ht="15.75" customHeight="1" s="51"/>
    <row r="247" ht="15.75" customHeight="1" s="51"/>
    <row r="248" ht="15.75" customHeight="1" s="51"/>
    <row r="249" ht="15.75" customHeight="1" s="51"/>
    <row r="250" ht="15.75" customHeight="1" s="51"/>
    <row r="251" ht="15.75" customHeight="1" s="51"/>
    <row r="252" ht="15.75" customHeight="1" s="51"/>
    <row r="253" ht="15.75" customHeight="1" s="51"/>
    <row r="254" ht="15.75" customHeight="1" s="51"/>
    <row r="255" ht="15.75" customHeight="1" s="51"/>
    <row r="256" ht="15.75" customHeight="1" s="51"/>
    <row r="257" ht="15.75" customHeight="1" s="51"/>
    <row r="258" ht="15.75" customHeight="1" s="51"/>
    <row r="259" ht="15.75" customHeight="1" s="51"/>
    <row r="260" ht="15.75" customHeight="1" s="51"/>
    <row r="261" ht="15.75" customHeight="1" s="51"/>
    <row r="262" ht="15.75" customHeight="1" s="51"/>
    <row r="263" ht="15.75" customHeight="1" s="51"/>
    <row r="264" ht="15.75" customHeight="1" s="51"/>
    <row r="265" ht="15.75" customHeight="1" s="51"/>
    <row r="266" ht="15.75" customHeight="1" s="51"/>
    <row r="267" ht="15.75" customHeight="1" s="51"/>
    <row r="268" ht="15.75" customHeight="1" s="51"/>
    <row r="269" ht="15.75" customHeight="1" s="51"/>
    <row r="270" ht="15.75" customHeight="1" s="51"/>
    <row r="271" ht="15.75" customHeight="1" s="51"/>
    <row r="272" ht="15.75" customHeight="1" s="51"/>
    <row r="273" ht="15.75" customHeight="1" s="51"/>
    <row r="274" ht="15.75" customHeight="1" s="51"/>
    <row r="275" ht="15.75" customHeight="1" s="51"/>
    <row r="276" ht="15.75" customHeight="1" s="51"/>
    <row r="277" ht="15.75" customHeight="1" s="51"/>
    <row r="278" ht="15.75" customHeight="1" s="51"/>
    <row r="279" ht="15.75" customHeight="1" s="51"/>
    <row r="280" ht="15.75" customHeight="1" s="51"/>
    <row r="281" ht="15.75" customHeight="1" s="51"/>
    <row r="282" ht="15.75" customHeight="1" s="51"/>
    <row r="283" ht="15.75" customHeight="1" s="51"/>
    <row r="284" ht="15.75" customHeight="1" s="51"/>
    <row r="285" ht="15.75" customHeight="1" s="51"/>
    <row r="286" ht="15.75" customHeight="1" s="51"/>
    <row r="287" ht="15.75" customHeight="1" s="51"/>
    <row r="288" ht="15.75" customHeight="1" s="51"/>
    <row r="289" ht="15.75" customHeight="1" s="51"/>
    <row r="290" ht="15.75" customHeight="1" s="51"/>
    <row r="291" ht="15.75" customHeight="1" s="51"/>
    <row r="292" ht="15.75" customHeight="1" s="51"/>
    <row r="293" ht="15.75" customHeight="1" s="51"/>
    <row r="294" ht="15.75" customHeight="1" s="51"/>
    <row r="295" ht="15.75" customHeight="1" s="51"/>
    <row r="296" ht="15.75" customHeight="1" s="51"/>
    <row r="297" ht="15.75" customHeight="1" s="51"/>
    <row r="298" ht="15.75" customHeight="1" s="51"/>
    <row r="299" ht="15.75" customHeight="1" s="51"/>
    <row r="300" ht="15.75" customHeight="1" s="51"/>
    <row r="301" ht="15.75" customHeight="1" s="51"/>
    <row r="302" ht="15.75" customHeight="1" s="51"/>
    <row r="303" ht="15.75" customHeight="1" s="51"/>
    <row r="304" ht="15.75" customHeight="1" s="51"/>
    <row r="305" ht="15.75" customHeight="1" s="51"/>
    <row r="306" ht="15.75" customHeight="1" s="51"/>
    <row r="307" ht="15.75" customHeight="1" s="51"/>
    <row r="308" ht="15.75" customHeight="1" s="51"/>
    <row r="309" ht="15.75" customHeight="1" s="51"/>
    <row r="310" ht="15.75" customHeight="1" s="51"/>
    <row r="311" ht="15.75" customHeight="1" s="51"/>
    <row r="312" ht="15.75" customHeight="1" s="51"/>
    <row r="313" ht="15.75" customHeight="1" s="51"/>
    <row r="314" ht="15.75" customHeight="1" s="51"/>
    <row r="315" ht="15.75" customHeight="1" s="51"/>
    <row r="316" ht="15.75" customHeight="1" s="51"/>
    <row r="317" ht="15.75" customHeight="1" s="51"/>
    <row r="318" ht="15.75" customHeight="1" s="51"/>
    <row r="319" ht="15.75" customHeight="1" s="51"/>
    <row r="320" ht="15.75" customHeight="1" s="51"/>
    <row r="321" ht="15.75" customHeight="1" s="51"/>
    <row r="322" ht="15.75" customHeight="1" s="51"/>
    <row r="323" ht="15.75" customHeight="1" s="51"/>
    <row r="324" ht="15.75" customHeight="1" s="51"/>
    <row r="325" ht="15.75" customHeight="1" s="51"/>
    <row r="326" ht="15.75" customHeight="1" s="51"/>
    <row r="327" ht="15.75" customHeight="1" s="51"/>
    <row r="328" ht="15.75" customHeight="1" s="51"/>
    <row r="329" ht="15.75" customHeight="1" s="51"/>
    <row r="330" ht="15.75" customHeight="1" s="51"/>
    <row r="331" ht="15.75" customHeight="1" s="51"/>
    <row r="332" ht="15.75" customHeight="1" s="51"/>
    <row r="333" ht="15.75" customHeight="1" s="51"/>
    <row r="334" ht="15.75" customHeight="1" s="51"/>
    <row r="335" ht="15.75" customHeight="1" s="51"/>
    <row r="336" ht="15.75" customHeight="1" s="51"/>
    <row r="337" ht="15.75" customHeight="1" s="51"/>
    <row r="338" ht="15.75" customHeight="1" s="51"/>
    <row r="339" ht="15.75" customHeight="1" s="51"/>
    <row r="340" ht="15.75" customHeight="1" s="51"/>
    <row r="341" ht="15.75" customHeight="1" s="51"/>
    <row r="342" ht="15.75" customHeight="1" s="51"/>
    <row r="343" ht="15.75" customHeight="1" s="51"/>
    <row r="344" ht="15.75" customHeight="1" s="51"/>
    <row r="345" ht="15.75" customHeight="1" s="51"/>
    <row r="346" ht="15.75" customHeight="1" s="51"/>
    <row r="347" ht="15.75" customHeight="1" s="51"/>
    <row r="348" ht="15.75" customHeight="1" s="51"/>
    <row r="349" ht="15.75" customHeight="1" s="51"/>
    <row r="350" ht="15.75" customHeight="1" s="51"/>
    <row r="351" ht="15.75" customHeight="1" s="51"/>
    <row r="352" ht="15.75" customHeight="1" s="51"/>
    <row r="353" ht="15.75" customHeight="1" s="51"/>
    <row r="354" ht="15.75" customHeight="1" s="51"/>
    <row r="355" ht="15.75" customHeight="1" s="51"/>
    <row r="356" ht="15.75" customHeight="1" s="51"/>
    <row r="357" ht="15.75" customHeight="1" s="51"/>
    <row r="358" ht="15.75" customHeight="1" s="51"/>
    <row r="359" ht="15.75" customHeight="1" s="51"/>
    <row r="360" ht="15.75" customHeight="1" s="51"/>
    <row r="361" ht="15.75" customHeight="1" s="51"/>
    <row r="362" ht="15.75" customHeight="1" s="51"/>
    <row r="363" ht="15.75" customHeight="1" s="51"/>
    <row r="364" ht="15.75" customHeight="1" s="51"/>
    <row r="365" ht="15.75" customHeight="1" s="51"/>
    <row r="366" ht="15.75" customHeight="1" s="51"/>
    <row r="367" ht="15.75" customHeight="1" s="51"/>
    <row r="368" ht="15.75" customHeight="1" s="51"/>
    <row r="369" ht="15.75" customHeight="1" s="51"/>
    <row r="370" ht="15.75" customHeight="1" s="51"/>
    <row r="371" ht="15.75" customHeight="1" s="51"/>
    <row r="372" ht="15.75" customHeight="1" s="51"/>
    <row r="373" ht="15.75" customHeight="1" s="51"/>
    <row r="374" ht="15.75" customHeight="1" s="51"/>
    <row r="375" ht="15.75" customHeight="1" s="51"/>
    <row r="376" ht="15.75" customHeight="1" s="51"/>
    <row r="377" ht="15.75" customHeight="1" s="51"/>
    <row r="378" ht="15.75" customHeight="1" s="51"/>
    <row r="379" ht="15.75" customHeight="1" s="51"/>
    <row r="380" ht="15.75" customHeight="1" s="51"/>
    <row r="381" ht="15.75" customHeight="1" s="51"/>
    <row r="382" ht="15.75" customHeight="1" s="51"/>
    <row r="383" ht="15.75" customHeight="1" s="51"/>
    <row r="384" ht="15.75" customHeight="1" s="51"/>
    <row r="385" ht="15.75" customHeight="1" s="51"/>
    <row r="386" ht="15.75" customHeight="1" s="51"/>
    <row r="387" ht="15.75" customHeight="1" s="51"/>
    <row r="388" ht="15.75" customHeight="1" s="51"/>
    <row r="389" ht="15.75" customHeight="1" s="51"/>
    <row r="390" ht="15.75" customHeight="1" s="51"/>
    <row r="391" ht="15.75" customHeight="1" s="51"/>
    <row r="392" ht="15.75" customHeight="1" s="51"/>
    <row r="393" ht="15.75" customHeight="1" s="51"/>
    <row r="394" ht="15.75" customHeight="1" s="51"/>
    <row r="395" ht="15.75" customHeight="1" s="51"/>
    <row r="396" ht="15.75" customHeight="1" s="51"/>
    <row r="397" ht="15.75" customHeight="1" s="51"/>
    <row r="398" ht="15.75" customHeight="1" s="51"/>
    <row r="399" ht="15.75" customHeight="1" s="51"/>
    <row r="400" ht="15.75" customHeight="1" s="51"/>
    <row r="401" ht="15.75" customHeight="1" s="51"/>
    <row r="402" ht="15.75" customHeight="1" s="51"/>
    <row r="403" ht="15.75" customHeight="1" s="51"/>
    <row r="404" ht="15.75" customHeight="1" s="51"/>
    <row r="405" ht="15.75" customHeight="1" s="51"/>
    <row r="406" ht="15.75" customHeight="1" s="51"/>
    <row r="407" ht="15.75" customHeight="1" s="51"/>
    <row r="408" ht="15.75" customHeight="1" s="51"/>
    <row r="409" ht="15.75" customHeight="1" s="51"/>
    <row r="410" ht="15.75" customHeight="1" s="51"/>
    <row r="411" ht="15.75" customHeight="1" s="51"/>
    <row r="412" ht="15.75" customHeight="1" s="51"/>
    <row r="413" ht="15.75" customHeight="1" s="51"/>
    <row r="414" ht="15.75" customHeight="1" s="51"/>
    <row r="415" ht="15.75" customHeight="1" s="51"/>
    <row r="416" ht="15.75" customHeight="1" s="51"/>
    <row r="417" ht="15.75" customHeight="1" s="51"/>
    <row r="418" ht="15.75" customHeight="1" s="51"/>
    <row r="419" ht="15.75" customHeight="1" s="51"/>
    <row r="420" ht="15.75" customHeight="1" s="51"/>
    <row r="421" ht="15.75" customHeight="1" s="51"/>
    <row r="422" ht="15.75" customHeight="1" s="51"/>
    <row r="423" ht="15.75" customHeight="1" s="51"/>
    <row r="424" ht="15.75" customHeight="1" s="51"/>
    <row r="425" ht="15.75" customHeight="1" s="51"/>
    <row r="426" ht="15.75" customHeight="1" s="51"/>
    <row r="427" ht="15.75" customHeight="1" s="51"/>
    <row r="428" ht="15.75" customHeight="1" s="51"/>
    <row r="429" ht="15.75" customHeight="1" s="51"/>
    <row r="430" ht="15.75" customHeight="1" s="51"/>
    <row r="431" ht="15.75" customHeight="1" s="51"/>
    <row r="432" ht="15.75" customHeight="1" s="51"/>
    <row r="433" ht="15.75" customHeight="1" s="51"/>
    <row r="434" ht="15.75" customHeight="1" s="51"/>
    <row r="435" ht="15.75" customHeight="1" s="51"/>
    <row r="436" ht="15.75" customHeight="1" s="51"/>
    <row r="437" ht="15.75" customHeight="1" s="51"/>
    <row r="438" ht="15.75" customHeight="1" s="51"/>
    <row r="439" ht="15.75" customHeight="1" s="51"/>
    <row r="440" ht="15.75" customHeight="1" s="51"/>
    <row r="441" ht="15.75" customHeight="1" s="51"/>
    <row r="442" ht="15.75" customHeight="1" s="51"/>
    <row r="443" ht="15.75" customHeight="1" s="51"/>
    <row r="444" ht="15.75" customHeight="1" s="51"/>
    <row r="445" ht="15.75" customHeight="1" s="51"/>
    <row r="446" ht="15.75" customHeight="1" s="51"/>
    <row r="447" ht="15.75" customHeight="1" s="51"/>
    <row r="448" ht="15.75" customHeight="1" s="51"/>
    <row r="449" ht="15.75" customHeight="1" s="51"/>
    <row r="450" ht="15.75" customHeight="1" s="51"/>
    <row r="451" ht="15.75" customHeight="1" s="51"/>
    <row r="452" ht="15.75" customHeight="1" s="51"/>
    <row r="453" ht="15.75" customHeight="1" s="51"/>
    <row r="454" ht="15.75" customHeight="1" s="51"/>
    <row r="455" ht="15.75" customHeight="1" s="51"/>
    <row r="456" ht="15.75" customHeight="1" s="51"/>
    <row r="457" ht="15.75" customHeight="1" s="51"/>
    <row r="458" ht="15.75" customHeight="1" s="51"/>
    <row r="459" ht="15.75" customHeight="1" s="51"/>
    <row r="460" ht="15.75" customHeight="1" s="51"/>
    <row r="461" ht="15.75" customHeight="1" s="51"/>
    <row r="462" ht="15.75" customHeight="1" s="51"/>
    <row r="463" ht="15.75" customHeight="1" s="51"/>
    <row r="464" ht="15.75" customHeight="1" s="51"/>
    <row r="465" ht="15.75" customHeight="1" s="51"/>
    <row r="466" ht="15.75" customHeight="1" s="51"/>
    <row r="467" ht="15.75" customHeight="1" s="51"/>
    <row r="468" ht="15.75" customHeight="1" s="51"/>
    <row r="469" ht="15.75" customHeight="1" s="51"/>
    <row r="470" ht="15.75" customHeight="1" s="51"/>
    <row r="471" ht="15.75" customHeight="1" s="51"/>
    <row r="472" ht="15.75" customHeight="1" s="51"/>
    <row r="473" ht="15.75" customHeight="1" s="51"/>
    <row r="474" ht="15.75" customHeight="1" s="51"/>
    <row r="475" ht="15.75" customHeight="1" s="51"/>
    <row r="476" ht="15.75" customHeight="1" s="51"/>
    <row r="477" ht="15.75" customHeight="1" s="51"/>
    <row r="478" ht="15.75" customHeight="1" s="51"/>
    <row r="479" ht="15.75" customHeight="1" s="51"/>
    <row r="480" ht="15.75" customHeight="1" s="51"/>
    <row r="481" ht="15.75" customHeight="1" s="51"/>
    <row r="482" ht="15.75" customHeight="1" s="51"/>
    <row r="483" ht="15.75" customHeight="1" s="51"/>
    <row r="484" ht="15.75" customHeight="1" s="51"/>
    <row r="485" ht="15.75" customHeight="1" s="51"/>
    <row r="486" ht="15.75" customHeight="1" s="51"/>
    <row r="487" ht="15.75" customHeight="1" s="51"/>
    <row r="488" ht="15.75" customHeight="1" s="51"/>
    <row r="489" ht="15.75" customHeight="1" s="51"/>
    <row r="490" ht="15.75" customHeight="1" s="51"/>
    <row r="491" ht="15.75" customHeight="1" s="51"/>
    <row r="492" ht="15.75" customHeight="1" s="51"/>
    <row r="493" ht="15.75" customHeight="1" s="51"/>
    <row r="494" ht="15.75" customHeight="1" s="51"/>
    <row r="495" ht="15.75" customHeight="1" s="51"/>
    <row r="496" ht="15.75" customHeight="1" s="51"/>
    <row r="497" ht="15.75" customHeight="1" s="51"/>
    <row r="498" ht="15.75" customHeight="1" s="51"/>
    <row r="499" ht="15.75" customHeight="1" s="51"/>
    <row r="500" ht="15.75" customHeight="1" s="51"/>
    <row r="501" ht="15.75" customHeight="1" s="51"/>
    <row r="502" ht="15.75" customHeight="1" s="51"/>
    <row r="503" ht="15.75" customHeight="1" s="51"/>
    <row r="504" ht="15.75" customHeight="1" s="51"/>
    <row r="505" ht="15.75" customHeight="1" s="51"/>
    <row r="506" ht="15.75" customHeight="1" s="51"/>
    <row r="507" ht="15.75" customHeight="1" s="51"/>
    <row r="508" ht="15.75" customHeight="1" s="51"/>
    <row r="509" ht="15.75" customHeight="1" s="51"/>
    <row r="510" ht="15.75" customHeight="1" s="51"/>
    <row r="511" ht="15.75" customHeight="1" s="51"/>
    <row r="512" ht="15.75" customHeight="1" s="51"/>
    <row r="513" ht="15.75" customHeight="1" s="51"/>
    <row r="514" ht="15.75" customHeight="1" s="51"/>
    <row r="515" ht="15.75" customHeight="1" s="51"/>
    <row r="516" ht="15.75" customHeight="1" s="51"/>
    <row r="517" ht="15.75" customHeight="1" s="51"/>
    <row r="518" ht="15.75" customHeight="1" s="51"/>
    <row r="519" ht="15.75" customHeight="1" s="51"/>
    <row r="520" ht="15.75" customHeight="1" s="51"/>
    <row r="521" ht="15.75" customHeight="1" s="51"/>
    <row r="522" ht="15.75" customHeight="1" s="51"/>
    <row r="523" ht="15.75" customHeight="1" s="51"/>
    <row r="524" ht="15.75" customHeight="1" s="51"/>
    <row r="525" ht="15.75" customHeight="1" s="51"/>
    <row r="526" ht="15.75" customHeight="1" s="51"/>
    <row r="527" ht="15.75" customHeight="1" s="51"/>
    <row r="528" ht="15.75" customHeight="1" s="51"/>
    <row r="529" ht="15.75" customHeight="1" s="51"/>
    <row r="530" ht="15.75" customHeight="1" s="51"/>
    <row r="531" ht="15.75" customHeight="1" s="51"/>
    <row r="532" ht="15.75" customHeight="1" s="51"/>
    <row r="533" ht="15.75" customHeight="1" s="51"/>
    <row r="534" ht="15.75" customHeight="1" s="51"/>
    <row r="535" ht="15.75" customHeight="1" s="51"/>
    <row r="536" ht="15.75" customHeight="1" s="51"/>
    <row r="537" ht="15.75" customHeight="1" s="51"/>
    <row r="538" ht="15.75" customHeight="1" s="51"/>
    <row r="539" ht="15.75" customHeight="1" s="51"/>
    <row r="540" ht="15.75" customHeight="1" s="51"/>
    <row r="541" ht="15.75" customHeight="1" s="51"/>
    <row r="542" ht="15.75" customHeight="1" s="51"/>
    <row r="543" ht="15.75" customHeight="1" s="51"/>
    <row r="544" ht="15.75" customHeight="1" s="51"/>
    <row r="545" ht="15.75" customHeight="1" s="51"/>
    <row r="546" ht="15.75" customHeight="1" s="51"/>
    <row r="547" ht="15.75" customHeight="1" s="51"/>
    <row r="548" ht="15.75" customHeight="1" s="51"/>
    <row r="549" ht="15.75" customHeight="1" s="51"/>
    <row r="550" ht="15.75" customHeight="1" s="51"/>
    <row r="551" ht="15.75" customHeight="1" s="51"/>
    <row r="552" ht="15.75" customHeight="1" s="51"/>
    <row r="553" ht="15.75" customHeight="1" s="51"/>
    <row r="554" ht="15.75" customHeight="1" s="51"/>
    <row r="555" ht="15.75" customHeight="1" s="51"/>
    <row r="556" ht="15.75" customHeight="1" s="51"/>
    <row r="557" ht="15.75" customHeight="1" s="51"/>
    <row r="558" ht="15.75" customHeight="1" s="51"/>
    <row r="559" ht="15.75" customHeight="1" s="51"/>
    <row r="560" ht="15.75" customHeight="1" s="51"/>
    <row r="561" ht="15.75" customHeight="1" s="51"/>
    <row r="562" ht="15.75" customHeight="1" s="51"/>
    <row r="563" ht="15.75" customHeight="1" s="51"/>
    <row r="564" ht="15.75" customHeight="1" s="51"/>
    <row r="565" ht="15.75" customHeight="1" s="51"/>
    <row r="566" ht="15.75" customHeight="1" s="51"/>
    <row r="567" ht="15.75" customHeight="1" s="51"/>
    <row r="568" ht="15.75" customHeight="1" s="51"/>
    <row r="569" ht="15.75" customHeight="1" s="51"/>
    <row r="570" ht="15.75" customHeight="1" s="51"/>
    <row r="571" ht="15.75" customHeight="1" s="51"/>
    <row r="572" ht="15.75" customHeight="1" s="51"/>
    <row r="573" ht="15.75" customHeight="1" s="51"/>
    <row r="574" ht="15.75" customHeight="1" s="51"/>
    <row r="575" ht="15.75" customHeight="1" s="51"/>
    <row r="576" ht="15.75" customHeight="1" s="51"/>
    <row r="577" ht="15.75" customHeight="1" s="51"/>
    <row r="578" ht="15.75" customHeight="1" s="51"/>
    <row r="579" ht="15.75" customHeight="1" s="51"/>
    <row r="580" ht="15.75" customHeight="1" s="51"/>
    <row r="581" ht="15.75" customHeight="1" s="51"/>
    <row r="582" ht="15.75" customHeight="1" s="51"/>
    <row r="583" ht="15.75" customHeight="1" s="51"/>
    <row r="584" ht="15.75" customHeight="1" s="51"/>
    <row r="585" ht="15.75" customHeight="1" s="51"/>
    <row r="586" ht="15.75" customHeight="1" s="51"/>
    <row r="587" ht="15.75" customHeight="1" s="51"/>
    <row r="588" ht="15.75" customHeight="1" s="51"/>
    <row r="589" ht="15.75" customHeight="1" s="51"/>
    <row r="590" ht="15.75" customHeight="1" s="51"/>
    <row r="591" ht="15.75" customHeight="1" s="51"/>
    <row r="592" ht="15.75" customHeight="1" s="51"/>
    <row r="593" ht="15.75" customHeight="1" s="51"/>
    <row r="594" ht="15.75" customHeight="1" s="51"/>
    <row r="595" ht="15.75" customHeight="1" s="51"/>
    <row r="596" ht="15.75" customHeight="1" s="51"/>
    <row r="597" ht="15.75" customHeight="1" s="51"/>
    <row r="598" ht="15.75" customHeight="1" s="51"/>
    <row r="599" ht="15.75" customHeight="1" s="51"/>
    <row r="600" ht="15.75" customHeight="1" s="51"/>
    <row r="601" ht="15.75" customHeight="1" s="51"/>
    <row r="602" ht="15.75" customHeight="1" s="51"/>
    <row r="603" ht="15.75" customHeight="1" s="51"/>
    <row r="604" ht="15.75" customHeight="1" s="51"/>
    <row r="605" ht="15.75" customHeight="1" s="51"/>
    <row r="606" ht="15.75" customHeight="1" s="51"/>
    <row r="607" ht="15.75" customHeight="1" s="51"/>
    <row r="608" ht="15.75" customHeight="1" s="51"/>
    <row r="609" ht="15.75" customHeight="1" s="51"/>
    <row r="610" ht="15.75" customHeight="1" s="51"/>
    <row r="611" ht="15.75" customHeight="1" s="51"/>
    <row r="612" ht="15.75" customHeight="1" s="51"/>
    <row r="613" ht="15.75" customHeight="1" s="51"/>
    <row r="614" ht="15.75" customHeight="1" s="51"/>
    <row r="615" ht="15.75" customHeight="1" s="51"/>
    <row r="616" ht="15.75" customHeight="1" s="51"/>
    <row r="617" ht="15.75" customHeight="1" s="51"/>
    <row r="618" ht="15.75" customHeight="1" s="51"/>
    <row r="619" ht="15.75" customHeight="1" s="51"/>
    <row r="620" ht="15.75" customHeight="1" s="51"/>
    <row r="621" ht="15.75" customHeight="1" s="51"/>
    <row r="622" ht="15.75" customHeight="1" s="51"/>
    <row r="623" ht="15.75" customHeight="1" s="51"/>
    <row r="624" ht="15.75" customHeight="1" s="51"/>
    <row r="625" ht="15.75" customHeight="1" s="51"/>
    <row r="626" ht="15.75" customHeight="1" s="51"/>
    <row r="627" ht="15.75" customHeight="1" s="51"/>
    <row r="628" ht="15.75" customHeight="1" s="51"/>
    <row r="629" ht="15.75" customHeight="1" s="51"/>
    <row r="630" ht="15.75" customHeight="1" s="51"/>
    <row r="631" ht="15.75" customHeight="1" s="51"/>
    <row r="632" ht="15.75" customHeight="1" s="51"/>
    <row r="633" ht="15.75" customHeight="1" s="51"/>
    <row r="634" ht="15.75" customHeight="1" s="51"/>
    <row r="635" ht="15.75" customHeight="1" s="51"/>
    <row r="636" ht="15.75" customHeight="1" s="51"/>
    <row r="637" ht="15.75" customHeight="1" s="51"/>
    <row r="638" ht="15.75" customHeight="1" s="51"/>
    <row r="639" ht="15.75" customHeight="1" s="51"/>
    <row r="640" ht="15.75" customHeight="1" s="51"/>
    <row r="641" ht="15.75" customHeight="1" s="51"/>
    <row r="642" ht="15.75" customHeight="1" s="51"/>
    <row r="643" ht="15.75" customHeight="1" s="51"/>
    <row r="644" ht="15.75" customHeight="1" s="51"/>
    <row r="645" ht="15.75" customHeight="1" s="51"/>
    <row r="646" ht="15.75" customHeight="1" s="51"/>
    <row r="647" ht="15.75" customHeight="1" s="51"/>
    <row r="648" ht="15.75" customHeight="1" s="51"/>
    <row r="649" ht="15.75" customHeight="1" s="51"/>
    <row r="650" ht="15.75" customHeight="1" s="51"/>
    <row r="651" ht="15.75" customHeight="1" s="51"/>
    <row r="652" ht="15.75" customHeight="1" s="51"/>
    <row r="653" ht="15.75" customHeight="1" s="51"/>
    <row r="654" ht="15.75" customHeight="1" s="51"/>
    <row r="655" ht="15.75" customHeight="1" s="51"/>
    <row r="656" ht="15.75" customHeight="1" s="51"/>
    <row r="657" ht="15.75" customHeight="1" s="51"/>
    <row r="658" ht="15.75" customHeight="1" s="51"/>
    <row r="659" ht="15.75" customHeight="1" s="51"/>
    <row r="660" ht="15.75" customHeight="1" s="51"/>
    <row r="661" ht="15.75" customHeight="1" s="51"/>
    <row r="662" ht="15.75" customHeight="1" s="51"/>
    <row r="663" ht="15.75" customHeight="1" s="51"/>
    <row r="664" ht="15.75" customHeight="1" s="51"/>
    <row r="665" ht="15.75" customHeight="1" s="51"/>
    <row r="666" ht="15.75" customHeight="1" s="51"/>
    <row r="667" ht="15.75" customHeight="1" s="51"/>
    <row r="668" ht="15.75" customHeight="1" s="51"/>
    <row r="669" ht="15.75" customHeight="1" s="51"/>
    <row r="670" ht="15.75" customHeight="1" s="51"/>
    <row r="671" ht="15.75" customHeight="1" s="51"/>
    <row r="672" ht="15.75" customHeight="1" s="51"/>
    <row r="673" ht="15.75" customHeight="1" s="51"/>
    <row r="674" ht="15.75" customHeight="1" s="51"/>
    <row r="675" ht="15.75" customHeight="1" s="51"/>
    <row r="676" ht="15.75" customHeight="1" s="51"/>
    <row r="677" ht="15.75" customHeight="1" s="51"/>
    <row r="678" ht="15.75" customHeight="1" s="51"/>
    <row r="679" ht="15.75" customHeight="1" s="51"/>
    <row r="680" ht="15.75" customHeight="1" s="51"/>
    <row r="681" ht="15.75" customHeight="1" s="51"/>
    <row r="682" ht="15.75" customHeight="1" s="51"/>
    <row r="683" ht="15.75" customHeight="1" s="51"/>
    <row r="684" ht="15.75" customHeight="1" s="51"/>
    <row r="685" ht="15.75" customHeight="1" s="51"/>
    <row r="686" ht="15.75" customHeight="1" s="51"/>
    <row r="687" ht="15.75" customHeight="1" s="51"/>
    <row r="688" ht="15.75" customHeight="1" s="51"/>
    <row r="689" ht="15.75" customHeight="1" s="51"/>
    <row r="690" ht="15.75" customHeight="1" s="51"/>
    <row r="691" ht="15.75" customHeight="1" s="51"/>
    <row r="692" ht="15.75" customHeight="1" s="51"/>
    <row r="693" ht="15.75" customHeight="1" s="51"/>
    <row r="694" ht="15.75" customHeight="1" s="51"/>
    <row r="695" ht="15.75" customHeight="1" s="51"/>
    <row r="696" ht="15.75" customHeight="1" s="51"/>
    <row r="697" ht="15.75" customHeight="1" s="51"/>
    <row r="698" ht="15.75" customHeight="1" s="51"/>
    <row r="699" ht="15.75" customHeight="1" s="51"/>
    <row r="700" ht="15.75" customHeight="1" s="51"/>
    <row r="701" ht="15.75" customHeight="1" s="51"/>
    <row r="702" ht="15.75" customHeight="1" s="51"/>
    <row r="703" ht="15.75" customHeight="1" s="51"/>
    <row r="704" ht="15.75" customHeight="1" s="51"/>
    <row r="705" ht="15.75" customHeight="1" s="51"/>
    <row r="706" ht="15.75" customHeight="1" s="51"/>
    <row r="707" ht="15.75" customHeight="1" s="51"/>
    <row r="708" ht="15.75" customHeight="1" s="51"/>
    <row r="709" ht="15.75" customHeight="1" s="51"/>
    <row r="710" ht="15.75" customHeight="1" s="51"/>
    <row r="711" ht="15.75" customHeight="1" s="51"/>
    <row r="712" ht="15.75" customHeight="1" s="51"/>
    <row r="713" ht="15.75" customHeight="1" s="51"/>
    <row r="714" ht="15.75" customHeight="1" s="51"/>
    <row r="715" ht="15.75" customHeight="1" s="51"/>
    <row r="716" ht="15.75" customHeight="1" s="51"/>
    <row r="717" ht="15.75" customHeight="1" s="51"/>
    <row r="718" ht="15.75" customHeight="1" s="51"/>
    <row r="719" ht="15.75" customHeight="1" s="51"/>
    <row r="720" ht="15.75" customHeight="1" s="51"/>
    <row r="721" ht="15.75" customHeight="1" s="51"/>
    <row r="722" ht="15.75" customHeight="1" s="51"/>
    <row r="723" ht="15.75" customHeight="1" s="51"/>
    <row r="724" ht="15.75" customHeight="1" s="51"/>
    <row r="725" ht="15.75" customHeight="1" s="51"/>
    <row r="726" ht="15.75" customHeight="1" s="51"/>
    <row r="727" ht="15.75" customHeight="1" s="51"/>
    <row r="728" ht="15.75" customHeight="1" s="51"/>
    <row r="729" ht="15.75" customHeight="1" s="51"/>
    <row r="730" ht="15.75" customHeight="1" s="51"/>
    <row r="731" ht="15.75" customHeight="1" s="51"/>
    <row r="732" ht="15.75" customHeight="1" s="51"/>
    <row r="733" ht="15.75" customHeight="1" s="51"/>
    <row r="734" ht="15.75" customHeight="1" s="51"/>
    <row r="735" ht="15.75" customHeight="1" s="51"/>
    <row r="736" ht="15.75" customHeight="1" s="51"/>
    <row r="737" ht="15.75" customHeight="1" s="51"/>
    <row r="738" ht="15.75" customHeight="1" s="51"/>
    <row r="739" ht="15.75" customHeight="1" s="51"/>
    <row r="740" ht="15.75" customHeight="1" s="51"/>
    <row r="741" ht="15.75" customHeight="1" s="51"/>
    <row r="742" ht="15.75" customHeight="1" s="51"/>
    <row r="743" ht="15.75" customHeight="1" s="51"/>
    <row r="744" ht="15.75" customHeight="1" s="51"/>
    <row r="745" ht="15.75" customHeight="1" s="51"/>
    <row r="746" ht="15.75" customHeight="1" s="51"/>
    <row r="747" ht="15.75" customHeight="1" s="51"/>
    <row r="748" ht="15.75" customHeight="1" s="51"/>
    <row r="749" ht="15.75" customHeight="1" s="51"/>
    <row r="750" ht="15.75" customHeight="1" s="51"/>
    <row r="751" ht="15.75" customHeight="1" s="51"/>
    <row r="752" ht="15.75" customHeight="1" s="51"/>
    <row r="753" ht="15.75" customHeight="1" s="51"/>
    <row r="754" ht="15.75" customHeight="1" s="51"/>
    <row r="755" ht="15.75" customHeight="1" s="51"/>
    <row r="756" ht="15.75" customHeight="1" s="51"/>
    <row r="757" ht="15.75" customHeight="1" s="51"/>
    <row r="758" ht="15.75" customHeight="1" s="51"/>
    <row r="759" ht="15.75" customHeight="1" s="51"/>
    <row r="760" ht="15.75" customHeight="1" s="51"/>
    <row r="761" ht="15.75" customHeight="1" s="51"/>
    <row r="762" ht="15.75" customHeight="1" s="51"/>
    <row r="763" ht="15.75" customHeight="1" s="51"/>
    <row r="764" ht="15.75" customHeight="1" s="51"/>
    <row r="765" ht="15.75" customHeight="1" s="51"/>
    <row r="766" ht="15.75" customHeight="1" s="51"/>
    <row r="767" ht="15.75" customHeight="1" s="51"/>
    <row r="768" ht="15.75" customHeight="1" s="51"/>
    <row r="769" ht="15.75" customHeight="1" s="51"/>
    <row r="770" ht="15.75" customHeight="1" s="51"/>
    <row r="771" ht="15.75" customHeight="1" s="51"/>
    <row r="772" ht="15.75" customHeight="1" s="51"/>
    <row r="773" ht="15.75" customHeight="1" s="51"/>
    <row r="774" ht="15.75" customHeight="1" s="51"/>
    <row r="775" ht="15.75" customHeight="1" s="51"/>
    <row r="776" ht="15.75" customHeight="1" s="51"/>
    <row r="777" ht="15.75" customHeight="1" s="51"/>
    <row r="778" ht="15.75" customHeight="1" s="51"/>
    <row r="779" ht="15.75" customHeight="1" s="51"/>
    <row r="780" ht="15.75" customHeight="1" s="51"/>
    <row r="781" ht="15.75" customHeight="1" s="51"/>
    <row r="782" ht="15.75" customHeight="1" s="51"/>
    <row r="783" ht="15.75" customHeight="1" s="51"/>
    <row r="784" ht="15.75" customHeight="1" s="51"/>
    <row r="785" ht="15.75" customHeight="1" s="51"/>
    <row r="786" ht="15.75" customHeight="1" s="51"/>
    <row r="787" ht="15.75" customHeight="1" s="51"/>
    <row r="788" ht="15.75" customHeight="1" s="51"/>
    <row r="789" ht="15.75" customHeight="1" s="51"/>
    <row r="790" ht="15.75" customHeight="1" s="51"/>
    <row r="791" ht="15.75" customHeight="1" s="51"/>
    <row r="792" ht="15.75" customHeight="1" s="51"/>
    <row r="793" ht="15.75" customHeight="1" s="51"/>
    <row r="794" ht="15.75" customHeight="1" s="51"/>
    <row r="795" ht="15.75" customHeight="1" s="51"/>
    <row r="796" ht="15.75" customHeight="1" s="51"/>
    <row r="797" ht="15.75" customHeight="1" s="51"/>
    <row r="798" ht="15.75" customHeight="1" s="51"/>
    <row r="799" ht="15.75" customHeight="1" s="51"/>
    <row r="800" ht="15.75" customHeight="1" s="51"/>
    <row r="801" ht="15.75" customHeight="1" s="51"/>
    <row r="802" ht="15.75" customHeight="1" s="51"/>
    <row r="803" ht="15.75" customHeight="1" s="51"/>
    <row r="804" ht="15.75" customHeight="1" s="51"/>
    <row r="805" ht="15.75" customHeight="1" s="51"/>
    <row r="806" ht="15.75" customHeight="1" s="51"/>
    <row r="807" ht="15.75" customHeight="1" s="51"/>
    <row r="808" ht="15.75" customHeight="1" s="51"/>
    <row r="809" ht="15.75" customHeight="1" s="51"/>
    <row r="810" ht="15.75" customHeight="1" s="51"/>
    <row r="811" ht="15.75" customHeight="1" s="51"/>
    <row r="812" ht="15.75" customHeight="1" s="51"/>
    <row r="813" ht="15.75" customHeight="1" s="51"/>
    <row r="814" ht="15.75" customHeight="1" s="51"/>
    <row r="815" ht="15.75" customHeight="1" s="51"/>
    <row r="816" ht="15.75" customHeight="1" s="51"/>
    <row r="817" ht="15.75" customHeight="1" s="51"/>
    <row r="818" ht="15.75" customHeight="1" s="51"/>
    <row r="819" ht="15.75" customHeight="1" s="51"/>
    <row r="820" ht="15.75" customHeight="1" s="51"/>
    <row r="821" ht="15.75" customHeight="1" s="51"/>
    <row r="822" ht="15.75" customHeight="1" s="51"/>
    <row r="823" ht="15.75" customHeight="1" s="51"/>
    <row r="824" ht="15.75" customHeight="1" s="51"/>
    <row r="825" ht="15.75" customHeight="1" s="51"/>
    <row r="826" ht="15.75" customHeight="1" s="51"/>
    <row r="827" ht="15.75" customHeight="1" s="51"/>
    <row r="828" ht="15.75" customHeight="1" s="51"/>
    <row r="829" ht="15.75" customHeight="1" s="51"/>
    <row r="830" ht="15.75" customHeight="1" s="51"/>
    <row r="831" ht="15.75" customHeight="1" s="51"/>
    <row r="832" ht="15.75" customHeight="1" s="51"/>
    <row r="833" ht="15.75" customHeight="1" s="51"/>
    <row r="834" ht="15.75" customHeight="1" s="51"/>
    <row r="835" ht="15.75" customHeight="1" s="51"/>
    <row r="836" ht="15.75" customHeight="1" s="51"/>
    <row r="837" ht="15.75" customHeight="1" s="51"/>
    <row r="838" ht="15.75" customHeight="1" s="51"/>
    <row r="839" ht="15.75" customHeight="1" s="51"/>
    <row r="840" ht="15.75" customHeight="1" s="51"/>
    <row r="841" ht="15.75" customHeight="1" s="51"/>
    <row r="842" ht="15.75" customHeight="1" s="51"/>
    <row r="843" ht="15.75" customHeight="1" s="51"/>
    <row r="844" ht="15.75" customHeight="1" s="51"/>
    <row r="845" ht="15.75" customHeight="1" s="51"/>
    <row r="846" ht="15.75" customHeight="1" s="51"/>
    <row r="847" ht="15.75" customHeight="1" s="51"/>
    <row r="848" ht="15.75" customHeight="1" s="51"/>
    <row r="849" ht="15.75" customHeight="1" s="51"/>
    <row r="850" ht="15.75" customHeight="1" s="51"/>
    <row r="851" ht="15.75" customHeight="1" s="51"/>
    <row r="852" ht="15.75" customHeight="1" s="51"/>
    <row r="853" ht="15.75" customHeight="1" s="51"/>
    <row r="854" ht="15.75" customHeight="1" s="51"/>
    <row r="855" ht="15.75" customHeight="1" s="51"/>
    <row r="856" ht="15.75" customHeight="1" s="51"/>
    <row r="857" ht="15.75" customHeight="1" s="51"/>
    <row r="858" ht="15.75" customHeight="1" s="51"/>
    <row r="859" ht="15.75" customHeight="1" s="51"/>
    <row r="860" ht="15.75" customHeight="1" s="51"/>
    <row r="861" ht="15.75" customHeight="1" s="51"/>
    <row r="862" ht="15.75" customHeight="1" s="51"/>
    <row r="863" ht="15.75" customHeight="1" s="51"/>
    <row r="864" ht="15.75" customHeight="1" s="51"/>
    <row r="865" ht="15.75" customHeight="1" s="51"/>
    <row r="866" ht="15.75" customHeight="1" s="51"/>
    <row r="867" ht="15.75" customHeight="1" s="51"/>
    <row r="868" ht="15.75" customHeight="1" s="51"/>
    <row r="869" ht="15.75" customHeight="1" s="51"/>
    <row r="870" ht="15.75" customHeight="1" s="51"/>
    <row r="871" ht="15.75" customHeight="1" s="51"/>
    <row r="872" ht="15.75" customHeight="1" s="51"/>
    <row r="873" ht="15.75" customHeight="1" s="51"/>
    <row r="874" ht="15.75" customHeight="1" s="51"/>
    <row r="875" ht="15.75" customHeight="1" s="51"/>
    <row r="876" ht="15.75" customHeight="1" s="51"/>
    <row r="877" ht="15.75" customHeight="1" s="51"/>
    <row r="878" ht="15.75" customHeight="1" s="51"/>
    <row r="879" ht="15.75" customHeight="1" s="51"/>
    <row r="880" ht="15.75" customHeight="1" s="51"/>
    <row r="881" ht="15.75" customHeight="1" s="51"/>
    <row r="882" ht="15.75" customHeight="1" s="51"/>
    <row r="883" ht="15.75" customHeight="1" s="51"/>
    <row r="884" ht="15.75" customHeight="1" s="51"/>
    <row r="885" ht="15.75" customHeight="1" s="51"/>
    <row r="886" ht="15.75" customHeight="1" s="51"/>
    <row r="887" ht="15.75" customHeight="1" s="51"/>
    <row r="888" ht="15.75" customHeight="1" s="51"/>
    <row r="889" ht="15.75" customHeight="1" s="51"/>
    <row r="890" ht="15.75" customHeight="1" s="51"/>
    <row r="891" ht="15.75" customHeight="1" s="51"/>
    <row r="892" ht="15.75" customHeight="1" s="51"/>
    <row r="893" ht="15.75" customHeight="1" s="51"/>
    <row r="894" ht="15.75" customHeight="1" s="51"/>
    <row r="895" ht="15.75" customHeight="1" s="51"/>
    <row r="896" ht="15.75" customHeight="1" s="51"/>
    <row r="897" ht="15.75" customHeight="1" s="51"/>
    <row r="898" ht="15.75" customHeight="1" s="51"/>
    <row r="899" ht="15.75" customHeight="1" s="51"/>
    <row r="900" ht="15.75" customHeight="1" s="51"/>
    <row r="901" ht="15.75" customHeight="1" s="51"/>
    <row r="902" ht="15.75" customHeight="1" s="51"/>
    <row r="903" ht="15.75" customHeight="1" s="51"/>
    <row r="904" ht="15.75" customHeight="1" s="51"/>
    <row r="905" ht="15.75" customHeight="1" s="51"/>
    <row r="906" ht="15.75" customHeight="1" s="51"/>
    <row r="907" ht="15.75" customHeight="1" s="51"/>
    <row r="908" ht="15.75" customHeight="1" s="51"/>
    <row r="909" ht="15.75" customHeight="1" s="51"/>
    <row r="910" ht="15.75" customHeight="1" s="51"/>
    <row r="911" ht="15.75" customHeight="1" s="51"/>
    <row r="912" ht="15.75" customHeight="1" s="51"/>
    <row r="913" ht="15.75" customHeight="1" s="51"/>
    <row r="914" ht="15.75" customHeight="1" s="51"/>
    <row r="915" ht="15.75" customHeight="1" s="51"/>
    <row r="916" ht="15.75" customHeight="1" s="51"/>
    <row r="917" ht="15.75" customHeight="1" s="51"/>
    <row r="918" ht="15.75" customHeight="1" s="51"/>
    <row r="919" ht="15.75" customHeight="1" s="51"/>
    <row r="920" ht="15.75" customHeight="1" s="51"/>
    <row r="921" ht="15.75" customHeight="1" s="51"/>
    <row r="922" ht="15.75" customHeight="1" s="51"/>
    <row r="923" ht="15.75" customHeight="1" s="51"/>
    <row r="924" ht="15.75" customHeight="1" s="51"/>
    <row r="925" ht="15.75" customHeight="1" s="51"/>
    <row r="926" ht="15.75" customHeight="1" s="51"/>
    <row r="927" ht="15.75" customHeight="1" s="51"/>
    <row r="928" ht="15.75" customHeight="1" s="51"/>
    <row r="929" ht="15.75" customHeight="1" s="51"/>
    <row r="930" ht="15.75" customHeight="1" s="51"/>
    <row r="931" ht="15.75" customHeight="1" s="51"/>
    <row r="932" ht="15.75" customHeight="1" s="51"/>
    <row r="933" ht="15.75" customHeight="1" s="51"/>
    <row r="934" ht="15.75" customHeight="1" s="51"/>
    <row r="935" ht="15.75" customHeight="1" s="51"/>
    <row r="936" ht="15.75" customHeight="1" s="51"/>
    <row r="937" ht="15.75" customHeight="1" s="51"/>
    <row r="938" ht="15.75" customHeight="1" s="51"/>
    <row r="939" ht="15.75" customHeight="1" s="51"/>
    <row r="940" ht="15.75" customHeight="1" s="51"/>
    <row r="941" ht="15.75" customHeight="1" s="51"/>
    <row r="942" ht="15.75" customHeight="1" s="51"/>
    <row r="943" ht="15.75" customHeight="1" s="51"/>
    <row r="944" ht="15.75" customHeight="1" s="51"/>
    <row r="945" ht="15.75" customHeight="1" s="51"/>
    <row r="946" ht="15.75" customHeight="1" s="51"/>
    <row r="947" ht="15.75" customHeight="1" s="51"/>
    <row r="948" ht="15.75" customHeight="1" s="51"/>
    <row r="949" ht="15.75" customHeight="1" s="51"/>
    <row r="950" ht="15.75" customHeight="1" s="51"/>
    <row r="951" ht="15.75" customHeight="1" s="51"/>
    <row r="952" ht="15.75" customHeight="1" s="51"/>
    <row r="953" ht="15.75" customHeight="1" s="51"/>
    <row r="954" ht="15.75" customHeight="1" s="51"/>
    <row r="955" ht="15.75" customHeight="1" s="51"/>
    <row r="956" ht="15.75" customHeight="1" s="51"/>
    <row r="957" ht="15.75" customHeight="1" s="51"/>
    <row r="958" ht="15.75" customHeight="1" s="51"/>
    <row r="959" ht="15.75" customHeight="1" s="51"/>
    <row r="960" ht="15.75" customHeight="1" s="51"/>
    <row r="961" ht="15.75" customHeight="1" s="51"/>
    <row r="962" ht="15.75" customHeight="1" s="51"/>
    <row r="963" ht="15.75" customHeight="1" s="51"/>
    <row r="964" ht="15.75" customHeight="1" s="51"/>
    <row r="965" ht="15.75" customHeight="1" s="51"/>
    <row r="966" ht="15.75" customHeight="1" s="51"/>
    <row r="967" ht="15.75" customHeight="1" s="51"/>
    <row r="968" ht="15.75" customHeight="1" s="51"/>
    <row r="969" ht="15.75" customHeight="1" s="51"/>
    <row r="970" ht="15.75" customHeight="1" s="51"/>
    <row r="971" ht="15.75" customHeight="1" s="51"/>
    <row r="972" ht="15.75" customHeight="1" s="51"/>
    <row r="973" ht="15.75" customHeight="1" s="51"/>
    <row r="974" ht="15.75" customHeight="1" s="51"/>
    <row r="975" ht="15.75" customHeight="1" s="51"/>
    <row r="976" ht="15.75" customHeight="1" s="51"/>
    <row r="977" ht="15.75" customHeight="1" s="51"/>
    <row r="978" ht="15.75" customHeight="1" s="51"/>
    <row r="979" ht="15.75" customHeight="1" s="51"/>
    <row r="980" ht="15.75" customHeight="1" s="51"/>
    <row r="981" ht="15.75" customHeight="1" s="51"/>
    <row r="982" ht="15.75" customHeight="1" s="51"/>
    <row r="983" ht="15.75" customHeight="1" s="51"/>
    <row r="984" ht="15.75" customHeight="1" s="51"/>
    <row r="985" ht="15.75" customHeight="1" s="51"/>
    <row r="986" ht="15.75" customHeight="1" s="51"/>
    <row r="987" ht="15.75" customHeight="1" s="51"/>
    <row r="988" ht="15.75" customHeight="1" s="51"/>
    <row r="989" ht="15.75" customHeight="1" s="51"/>
    <row r="990" ht="15.75" customHeight="1" s="51"/>
    <row r="991" ht="15.75" customHeight="1" s="51"/>
    <row r="992" ht="15.75" customHeight="1" s="51"/>
    <row r="993" ht="15.75" customHeight="1" s="51"/>
    <row r="994" ht="15.75" customHeight="1" s="51"/>
    <row r="995" ht="15.75" customHeight="1" s="51"/>
    <row r="996" ht="15.75" customHeight="1" s="51"/>
    <row r="997" ht="15.75" customHeight="1" s="51"/>
    <row r="998" ht="15.75" customHeight="1" s="51"/>
    <row r="999" ht="15.75" customHeight="1" s="51"/>
    <row r="1000" ht="15.75" customHeight="1" s="51"/>
  </sheetData>
  <mergeCells count="2">
    <mergeCell ref="A1:J1"/>
    <mergeCell ref="A2:S2"/>
  </mergeCells>
  <dataValidations count="4">
    <dataValidation sqref="D5:D24" showDropDown="0" showInputMessage="0" showErrorMessage="0" allowBlank="1" type="list">
      <formula1>'選択肢リスト'!$A$3:$A$201</formula1>
    </dataValidation>
    <dataValidation sqref="H5:H24" showDropDown="0" showInputMessage="0" showErrorMessage="0" allowBlank="1" type="list">
      <formula1>'選択肢リスト'!$D$3:$D$201</formula1>
    </dataValidation>
    <dataValidation sqref="G5:G24" showDropDown="0" showInputMessage="0" showErrorMessage="0" allowBlank="1" type="list">
      <formula1>'選択肢リスト'!$C$3:$C$201</formula1>
    </dataValidation>
    <dataValidation sqref="E5:E24" showDropDown="0" showInputMessage="0" showErrorMessage="0" allowBlank="1" type="list">
      <formula1>'選択肢リスト'!$B$3:$B$201</formula1>
    </dataValidation>
  </dataValidation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s>
  <pageMargins left="0.75" right="0.75" top="1" bottom="1" header="0" footer="0"/>
  <pageSetup orientation="portrait" paperSize="9"/>
  <legacyDrawing xmlns:r="http://schemas.openxmlformats.org/officeDocument/2006/relationships" r:id="anysvml"/>
  <tableParts count="1">
    <tablePart xmlns:r="http://schemas.openxmlformats.org/officeDocument/2006/relationships" r:id="rId21"/>
  </tableParts>
</worksheet>
</file>

<file path=xl/worksheets/sheet3.xml><?xml version="1.0" encoding="utf-8"?>
<worksheet xmlns="http://schemas.openxmlformats.org/spreadsheetml/2006/main">
  <sheetPr>
    <outlinePr summaryBelow="1" summaryRight="1"/>
    <pageSetUpPr/>
  </sheetPr>
  <dimension ref="A1:S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5" customWidth="1" style="51" min="1" max="1"/>
    <col width="11" customWidth="1" style="51" min="2" max="2"/>
    <col width="30" customWidth="1" style="51" min="3" max="3"/>
    <col width="16" customWidth="1" style="51" min="4" max="4"/>
    <col width="18" customWidth="1" style="51" min="5" max="5"/>
    <col width="26" customWidth="1" style="51" min="6" max="6"/>
    <col width="24" customWidth="1" style="51" min="7" max="7"/>
    <col width="22" customWidth="1" style="51" min="8" max="8"/>
    <col width="44" customWidth="1" style="51" min="9" max="9"/>
    <col width="7" customWidth="1" style="51" min="10" max="10"/>
    <col width="11" customWidth="1" style="51" min="11" max="11"/>
    <col width="9" customWidth="1" style="51" min="12" max="13"/>
    <col width="12" customWidth="1" style="51" min="14" max="14"/>
    <col width="11" customWidth="1" style="51" min="15" max="16"/>
    <col width="46" customWidth="1" style="51" min="17" max="17"/>
    <col width="26" customWidth="1" style="51" min="18" max="18"/>
    <col width="46" customWidth="1" style="51" min="19" max="19"/>
    <col width="8.710000000000001" customWidth="1" style="51" min="20" max="24"/>
  </cols>
  <sheetData>
    <row r="1" ht="24" customHeight="1" s="51">
      <c r="A1" s="2" t="inlineStr">
        <is>
          <t>JICA キルギス（@jicakyrgyzrepublic）　フォロワー4,877人／投稿236件</t>
        </is>
      </c>
    </row>
    <row r="2" ht="55.5" customHeight="1" s="51">
      <c r="A2" s="4" t="inlineStr">
        <is>
          <t>【データ】2026/8/10時点。全投稿（Peace Corps 573件・KOICA 452件・JICA 236件）を取得し、再生回数の上位20件を降順で掲載。Instagramが再生回数を公開しているのはリールのみのため、上位20件は全てリールです（カルーセル・静止画は再生回数を外部から取得できません）。　【入力】白いセルは自動記入済みで上書き可。水色セル（保存数・コメントの概要）は手入力欄です。保存数は非公開のため空欄。グレー列は自動計算。フォロワー数は投稿時点ではなく現在値のため、エンゲージメント率は概算値です。　【選択式】形式・ジャンル・手法・目的の4列はセルをクリック→▼から選択（選択肢は『選択肢リスト』シートで追加可）。</t>
        </is>
      </c>
    </row>
    <row r="3" ht="6" customHeight="1" s="51"/>
    <row r="4" ht="45.75" customHeight="1" s="51">
      <c r="A4" s="13" t="inlineStr">
        <is>
          <t>No.</t>
        </is>
      </c>
      <c r="B4" s="14" t="inlineStr">
        <is>
          <t>投稿日</t>
        </is>
      </c>
      <c r="C4" s="14" t="inlineStr">
        <is>
          <t>投稿URL</t>
        </is>
      </c>
      <c r="D4" s="14" t="inlineStr">
        <is>
          <t>形式</t>
        </is>
      </c>
      <c r="E4" s="14" t="inlineStr">
        <is>
          <t>ジャンル</t>
        </is>
      </c>
      <c r="F4" s="14" t="inlineStr">
        <is>
          <t>サブテーマ・対象国/地域</t>
        </is>
      </c>
      <c r="G4" s="14" t="inlineStr">
        <is>
          <t>ストーリーテリング手法</t>
        </is>
      </c>
      <c r="H4" s="14" t="inlineStr">
        <is>
          <t>推定される投稿の目的</t>
        </is>
      </c>
      <c r="I4" s="14" t="inlineStr">
        <is>
          <t>冒頭のフック／投稿内容の要約</t>
        </is>
      </c>
      <c r="J4" s="14" t="inlineStr">
        <is>
          <t>動画尺
（秒）</t>
        </is>
      </c>
      <c r="K4" s="14" t="inlineStr">
        <is>
          <t>再生回数</t>
        </is>
      </c>
      <c r="L4" s="14" t="inlineStr">
        <is>
          <t>いいね</t>
        </is>
      </c>
      <c r="M4" s="14" t="inlineStr">
        <is>
          <t>コメント</t>
        </is>
      </c>
      <c r="N4" s="14" t="inlineStr">
        <is>
          <t>フォロワー数
（現在値）</t>
        </is>
      </c>
      <c r="O4" s="14" t="inlineStr">
        <is>
          <t>再生÷
フォロワー
（自動）</t>
        </is>
      </c>
      <c r="P4" s="14" t="inlineStr">
        <is>
          <t>いいね率
（対再生・自動）</t>
        </is>
      </c>
      <c r="Q4" s="14" t="inlineStr">
        <is>
          <t>良い点・目を引く点</t>
        </is>
      </c>
      <c r="R4" s="14" t="inlineStr">
        <is>
          <t>コメントの概要（どんな反応か）</t>
        </is>
      </c>
      <c r="S4" s="14" t="inlineStr">
        <is>
          <t>気づいたこと・自アカウントへの応用</t>
        </is>
      </c>
    </row>
    <row r="5" ht="96" customHeight="1" s="51">
      <c r="A5" s="17" t="n">
        <v>1</v>
      </c>
      <c r="B5" s="18" t="n">
        <v>45987</v>
      </c>
      <c r="C5" s="15" t="inlineStr">
        <is>
          <t>https://www.instagram.com/reel/DRhMMeqjHBc/</t>
        </is>
      </c>
      <c r="D5" s="43" t="inlineStr">
        <is>
          <t>リール（動画）</t>
        </is>
      </c>
      <c r="E5" s="43" t="inlineStr">
        <is>
          <t>保健・医療</t>
        </is>
      </c>
      <c r="F5" s="30" t="inlineStr">
        <is>
          <t>家庭医制度／保健省連携</t>
        </is>
      </c>
      <c r="G5" s="43" t="inlineStr">
        <is>
          <t>ドラマ形式</t>
        </is>
      </c>
      <c r="H5" s="43" t="inlineStr">
        <is>
          <t>教育・啓発</t>
        </is>
      </c>
      <c r="I5" s="44" t="n"/>
      <c r="J5" s="31" t="n">
        <v>180</v>
      </c>
      <c r="K5" s="32" t="n">
        <v>312965</v>
      </c>
      <c r="L5" s="32" t="n">
        <v>375</v>
      </c>
      <c r="M5" s="32" t="n">
        <v>10</v>
      </c>
      <c r="N5" s="32" t="n">
        <v>4877</v>
      </c>
      <c r="O5" s="35">
        <f>IFERROR(K5/N5,"")</f>
        <v/>
      </c>
      <c r="P5" s="37">
        <f>IFERROR(L5/K5,"")</f>
        <v/>
      </c>
      <c r="Q5" s="30" t="n"/>
      <c r="R5" s="41" t="n"/>
      <c r="S5" s="30" t="n"/>
    </row>
    <row r="6" ht="96" customHeight="1" s="51">
      <c r="A6" s="17" t="n">
        <v>2</v>
      </c>
      <c r="B6" s="18" t="n">
        <v>45882</v>
      </c>
      <c r="C6" s="15" t="inlineStr">
        <is>
          <t>https://www.instagram.com/reel/DNSCFAgCYtL/</t>
        </is>
      </c>
      <c r="D6" s="43" t="inlineStr">
        <is>
          <t>リール（動画）</t>
        </is>
      </c>
      <c r="E6" s="43" t="inlineStr">
        <is>
          <t>インフラ・都市開発</t>
        </is>
      </c>
      <c r="F6" s="30" t="inlineStr">
        <is>
          <t>ビシュケク－オシュ道路／25周年連載</t>
        </is>
      </c>
      <c r="G6" s="36" t="inlineStr">
        <is>
          <t>Before→After（変化を見せる）</t>
        </is>
      </c>
      <c r="H6" s="43" t="inlineStr">
        <is>
          <t>事業内容の理解促進</t>
        </is>
      </c>
      <c r="I6" s="45" t="n"/>
      <c r="J6" s="31" t="n">
        <v>78</v>
      </c>
      <c r="K6" s="32" t="n">
        <v>270344</v>
      </c>
      <c r="L6" s="32" t="n">
        <v>973</v>
      </c>
      <c r="M6" s="32" t="n">
        <v>17</v>
      </c>
      <c r="N6" s="32" t="n">
        <v>4877</v>
      </c>
      <c r="O6" s="35">
        <f>IFERROR(K6/N6,"")</f>
        <v/>
      </c>
      <c r="P6" s="37">
        <f>IFERROR(L6/K6,"")</f>
        <v/>
      </c>
      <c r="Q6" s="30" t="n"/>
      <c r="R6" s="41" t="n"/>
      <c r="S6" s="30" t="n"/>
    </row>
    <row r="7" ht="96" customHeight="1" s="51">
      <c r="A7" s="17" t="n">
        <v>3</v>
      </c>
      <c r="B7" s="18" t="n">
        <v>45888</v>
      </c>
      <c r="C7" s="15" t="inlineStr">
        <is>
          <t>https://www.instagram.com/reel/DNiLnyKphEd/</t>
        </is>
      </c>
      <c r="D7" s="43" t="inlineStr">
        <is>
          <t>リール（動画）</t>
        </is>
      </c>
      <c r="E7" s="43" t="inlineStr">
        <is>
          <t>ボランティア／派遣隊員</t>
        </is>
      </c>
      <c r="F7" s="45" t="inlineStr">
        <is>
          <t>JOCV松下さん（医療系）の活動</t>
        </is>
      </c>
      <c r="G7" s="43" t="inlineStr">
        <is>
          <t>ドキュメンタリー形式</t>
        </is>
      </c>
      <c r="H7" s="43" t="inlineStr">
        <is>
          <t>共感・親近感の醸成</t>
        </is>
      </c>
      <c r="I7" s="30" t="n"/>
      <c r="J7" s="31" t="n">
        <v>91</v>
      </c>
      <c r="K7" s="32" t="n">
        <v>248305</v>
      </c>
      <c r="L7" s="32" t="n">
        <v>8698</v>
      </c>
      <c r="M7" s="32" t="n">
        <v>34</v>
      </c>
      <c r="N7" s="32" t="n">
        <v>4877</v>
      </c>
      <c r="O7" s="35">
        <f>IFERROR(K7/N7,"")</f>
        <v/>
      </c>
      <c r="P7" s="37">
        <f>IFERROR(L7/K7,"")</f>
        <v/>
      </c>
      <c r="Q7" s="30" t="n"/>
      <c r="R7" s="41" t="inlineStr">
        <is>
          <t>「どうもありがとう！お仕事、頑張ってください！」などの好意的なコメント多し</t>
        </is>
      </c>
      <c r="S7" s="30" t="n"/>
    </row>
    <row r="8" ht="96" customHeight="1" s="51">
      <c r="A8" s="17" t="n">
        <v>4</v>
      </c>
      <c r="B8" s="18" t="n">
        <v>45930</v>
      </c>
      <c r="C8" s="15" t="inlineStr">
        <is>
          <t>https://www.instagram.com/reel/DPOdmc_inwO/</t>
        </is>
      </c>
      <c r="D8" s="43" t="inlineStr">
        <is>
          <t>リール（動画）</t>
        </is>
      </c>
      <c r="E8" s="43" t="inlineStr">
        <is>
          <t>保健・医療</t>
        </is>
      </c>
      <c r="F8" s="30" t="inlineStr">
        <is>
          <t>保健省との無償資金協力</t>
        </is>
      </c>
      <c r="G8" s="43" t="inlineStr">
        <is>
          <t>課題提示→解決の流れ</t>
        </is>
      </c>
      <c r="H8" s="43" t="inlineStr">
        <is>
          <t>実績・成果の報告（説明責任）</t>
        </is>
      </c>
      <c r="I8" s="30" t="n"/>
      <c r="J8" s="31" t="n">
        <v>107</v>
      </c>
      <c r="K8" s="32" t="n">
        <v>235872</v>
      </c>
      <c r="L8" s="32" t="n">
        <v>938</v>
      </c>
      <c r="M8" s="32" t="n">
        <v>23</v>
      </c>
      <c r="N8" s="32" t="n">
        <v>4877</v>
      </c>
      <c r="O8" s="35">
        <f>IFERROR(K8/N8,"")</f>
        <v/>
      </c>
      <c r="P8" s="37">
        <f>IFERROR(L8/K8,"")</f>
        <v/>
      </c>
      <c r="Q8" s="30" t="n"/>
      <c r="R8" s="41" t="inlineStr">
        <is>
          <t>キルギス語のコメントが主。
絵文字👏も多用されている</t>
        </is>
      </c>
      <c r="S8" s="30" t="n"/>
    </row>
    <row r="9" ht="96" customHeight="1" s="51">
      <c r="A9" s="17" t="n">
        <v>5</v>
      </c>
      <c r="B9" s="18" t="n">
        <v>45979</v>
      </c>
      <c r="C9" s="15" t="inlineStr">
        <is>
          <t>https://www.instagram.com/reel/DRL4YycCRMU/</t>
        </is>
      </c>
      <c r="D9" s="43" t="inlineStr">
        <is>
          <t>リール（動画）</t>
        </is>
      </c>
      <c r="E9" s="43" t="inlineStr">
        <is>
          <t>民間連携・ビジネス</t>
        </is>
      </c>
      <c r="F9" s="30" t="inlineStr">
        <is>
          <t>キルギス日本人材開発センター（KRJC）30周年</t>
        </is>
      </c>
      <c r="G9" s="43" t="inlineStr">
        <is>
          <t>データ・数字で驚かせる</t>
        </is>
      </c>
      <c r="H9" s="43" t="inlineStr">
        <is>
          <t>事業内容の理解促進</t>
        </is>
      </c>
      <c r="I9" s="30" t="n"/>
      <c r="J9" s="31" t="n">
        <v>74</v>
      </c>
      <c r="K9" s="32" t="n">
        <v>95076</v>
      </c>
      <c r="L9" s="32" t="n">
        <v>494</v>
      </c>
      <c r="M9" s="32" t="n">
        <v>26</v>
      </c>
      <c r="N9" s="32" t="n">
        <v>4877</v>
      </c>
      <c r="O9" s="35">
        <f>IFERROR(K9/N9,"")</f>
        <v/>
      </c>
      <c r="P9" s="37">
        <f>IFERROR(L9/K9,"")</f>
        <v/>
      </c>
      <c r="Q9" s="30" t="n"/>
      <c r="R9" s="41" t="inlineStr">
        <is>
          <t>講座の受講料や開催場所を尋ねるコメントも多い。
好意的な複数のコメントに対し、過去の参加者（同一アカウント）と思われる方から不満を訴えるコメントがつく事例も確認。Кыргычылык кылып, тааныш билишке караган, адилетсиз мугалимдер окуткан. Аягында бутуруучулордун арасында тандоо болот дегенинен окуп, даярданып журо бериптирмин. Бирок айрым окуучулар япондорду Аларчага, кафелерге алып барып сыйлап журо беришиптир, (кийин именно ошол японец бизден экзамен алган) анан тандоонун жыйынтыгы кандай болду деп ойлойсунар?!</t>
        </is>
      </c>
      <c r="S9" s="30" t="n"/>
    </row>
    <row r="10" ht="96" customHeight="1" s="51">
      <c r="A10" s="17" t="n">
        <v>6</v>
      </c>
      <c r="B10" s="18" t="n">
        <v>45994</v>
      </c>
      <c r="C10" s="15" t="inlineStr">
        <is>
          <t>https://www.instagram.com/reel/DRydQ1lEmEo/</t>
        </is>
      </c>
      <c r="D10" s="43" t="inlineStr">
        <is>
          <t>リール（動画）</t>
        </is>
      </c>
      <c r="E10" s="43" t="inlineStr">
        <is>
          <t>保健・医療</t>
        </is>
      </c>
      <c r="F10" s="30" t="inlineStr">
        <is>
          <t>高血圧（ロシア語版）</t>
        </is>
      </c>
      <c r="G10" s="43" t="inlineStr">
        <is>
          <t>クイズ・穴埋め形式</t>
        </is>
      </c>
      <c r="H10" s="43" t="inlineStr">
        <is>
          <t>教育・啓発</t>
        </is>
      </c>
      <c r="I10" s="30" t="n"/>
      <c r="J10" s="31" t="n">
        <v>146</v>
      </c>
      <c r="K10" s="32" t="n">
        <v>94022</v>
      </c>
      <c r="L10" s="32" t="n">
        <v>55</v>
      </c>
      <c r="M10" s="32" t="n">
        <v>2</v>
      </c>
      <c r="N10" s="32" t="n">
        <v>4877</v>
      </c>
      <c r="O10" s="35">
        <f>IFERROR(K10/N10,"")</f>
        <v/>
      </c>
      <c r="P10" s="37">
        <f>IFERROR(L10/K10,"")</f>
        <v/>
      </c>
      <c r="Q10" s="30" t="n"/>
      <c r="R10" s="41" t="n"/>
      <c r="S10" s="30" t="n"/>
    </row>
    <row r="11" ht="96" customHeight="1" s="51">
      <c r="A11" s="17" t="n">
        <v>7</v>
      </c>
      <c r="B11" s="18" t="n">
        <v>45994</v>
      </c>
      <c r="C11" s="15" t="inlineStr">
        <is>
          <t>https://www.instagram.com/reel/DRyfGh7jjxw/</t>
        </is>
      </c>
      <c r="D11" s="43" t="inlineStr">
        <is>
          <t>リール（動画）</t>
        </is>
      </c>
      <c r="E11" s="43" t="inlineStr">
        <is>
          <t>保健・医療</t>
        </is>
      </c>
      <c r="F11" s="30" t="inlineStr">
        <is>
          <t>糖尿病（キルギス語版）</t>
        </is>
      </c>
      <c r="G11" s="43" t="inlineStr">
        <is>
          <t>クイズ・穴埋め形式</t>
        </is>
      </c>
      <c r="H11" s="43" t="inlineStr">
        <is>
          <t>教育・啓発</t>
        </is>
      </c>
      <c r="I11" s="30" t="n"/>
      <c r="J11" s="31" t="n">
        <v>181</v>
      </c>
      <c r="K11" s="32" t="n">
        <v>83643</v>
      </c>
      <c r="L11" s="32" t="n">
        <v>425</v>
      </c>
      <c r="M11" s="32" t="n">
        <v>6</v>
      </c>
      <c r="N11" s="32" t="n">
        <v>4877</v>
      </c>
      <c r="O11" s="35">
        <f>IFERROR(K11/N11,"")</f>
        <v/>
      </c>
      <c r="P11" s="37">
        <f>IFERROR(L11/K11,"")</f>
        <v/>
      </c>
      <c r="Q11" s="30" t="n"/>
      <c r="R11" s="41" t="n"/>
      <c r="S11" s="30" t="n"/>
    </row>
    <row r="12" ht="96" customHeight="1" s="51">
      <c r="A12" s="17" t="n">
        <v>8</v>
      </c>
      <c r="B12" s="18" t="n">
        <v>45994</v>
      </c>
      <c r="C12" s="15" t="inlineStr">
        <is>
          <t>https://www.instagram.com/reel/DRyeghHEZnI/</t>
        </is>
      </c>
      <c r="D12" s="43" t="inlineStr">
        <is>
          <t>リール（動画）</t>
        </is>
      </c>
      <c r="E12" s="43" t="inlineStr">
        <is>
          <t>保健・医療</t>
        </is>
      </c>
      <c r="F12" s="30" t="inlineStr">
        <is>
          <t>糖尿病（ロシア語版）</t>
        </is>
      </c>
      <c r="G12" s="43" t="inlineStr">
        <is>
          <t>クイズ・穴埋め形式</t>
        </is>
      </c>
      <c r="H12" s="43" t="inlineStr">
        <is>
          <t>教育・啓発</t>
        </is>
      </c>
      <c r="I12" s="30" t="n"/>
      <c r="J12" s="31" t="n">
        <v>183</v>
      </c>
      <c r="K12" s="32" t="n">
        <v>81257</v>
      </c>
      <c r="L12" s="32" t="n">
        <v>173</v>
      </c>
      <c r="M12" s="32" t="n">
        <v>5</v>
      </c>
      <c r="N12" s="32" t="n">
        <v>4877</v>
      </c>
      <c r="O12" s="35">
        <f>IFERROR(K12/N12,"")</f>
        <v/>
      </c>
      <c r="P12" s="37">
        <f>IFERROR(L12/K12,"")</f>
        <v/>
      </c>
      <c r="Q12" s="30" t="n"/>
      <c r="R12" s="41" t="n"/>
      <c r="S12" s="45" t="n"/>
    </row>
    <row r="13" ht="96" customHeight="1" s="51">
      <c r="A13" s="17" t="n">
        <v>9</v>
      </c>
      <c r="B13" s="18" t="n">
        <v>45994</v>
      </c>
      <c r="C13" s="15" t="inlineStr">
        <is>
          <t>https://www.instagram.com/reel/DRyd8eakrZo/</t>
        </is>
      </c>
      <c r="D13" s="43" t="inlineStr">
        <is>
          <t>リール（動画）</t>
        </is>
      </c>
      <c r="E13" s="43" t="inlineStr">
        <is>
          <t>保健・医療</t>
        </is>
      </c>
      <c r="F13" s="30" t="inlineStr">
        <is>
          <t>高血圧（キルギス語版）</t>
        </is>
      </c>
      <c r="G13" s="43" t="inlineStr">
        <is>
          <t>クイズ・穴埋め形式</t>
        </is>
      </c>
      <c r="H13" s="43" t="inlineStr">
        <is>
          <t>教育・啓発</t>
        </is>
      </c>
      <c r="I13" s="30" t="n"/>
      <c r="J13" s="31" t="n">
        <v>146</v>
      </c>
      <c r="K13" s="32" t="n">
        <v>68701</v>
      </c>
      <c r="L13" s="32" t="n">
        <v>261</v>
      </c>
      <c r="M13" s="32" t="n">
        <v>7</v>
      </c>
      <c r="N13" s="32" t="n">
        <v>4877</v>
      </c>
      <c r="O13" s="35">
        <f>IFERROR(K13/N13,"")</f>
        <v/>
      </c>
      <c r="P13" s="37">
        <f>IFERROR(L13/K13,"")</f>
        <v/>
      </c>
      <c r="Q13" s="30" t="n"/>
      <c r="R13" s="41" t="n"/>
      <c r="S13" s="30" t="n"/>
    </row>
    <row r="14" ht="96" customHeight="1" s="51">
      <c r="A14" s="17" t="n">
        <v>10</v>
      </c>
      <c r="B14" s="18" t="n">
        <v>45979</v>
      </c>
      <c r="C14" s="15" t="inlineStr">
        <is>
          <t>https://www.instagram.com/reel/DRMRaIcCBwA/</t>
        </is>
      </c>
      <c r="D14" s="43" t="inlineStr">
        <is>
          <t>リール（動画）</t>
        </is>
      </c>
      <c r="E14" s="43" t="inlineStr">
        <is>
          <t>環境・気候変動</t>
        </is>
      </c>
      <c r="F14" s="30" t="inlineStr">
        <is>
          <t>オシュ市の大気汚染研究センター開所</t>
        </is>
      </c>
      <c r="G14" s="43" t="inlineStr">
        <is>
          <t>告知・お知らせのみ</t>
        </is>
      </c>
      <c r="H14" s="43" t="inlineStr">
        <is>
          <t>実績・成果の報告（説明責任）</t>
        </is>
      </c>
      <c r="I14" s="30" t="n"/>
      <c r="J14" s="31" t="n">
        <v>127</v>
      </c>
      <c r="K14" s="32" t="n">
        <v>29584</v>
      </c>
      <c r="L14" s="32" t="n">
        <v>372</v>
      </c>
      <c r="M14" s="32" t="n">
        <v>7</v>
      </c>
      <c r="N14" s="32" t="n">
        <v>4877</v>
      </c>
      <c r="O14" s="35">
        <f>IFERROR(K14/N14,"")</f>
        <v/>
      </c>
      <c r="P14" s="37">
        <f>IFERROR(L14/K14,"")</f>
        <v/>
      </c>
      <c r="Q14" s="30" t="n"/>
      <c r="R14" s="41" t="inlineStr">
        <is>
          <t>Mr Nishigata🔥💪　など</t>
        </is>
      </c>
      <c r="S14" s="30" t="n"/>
    </row>
    <row r="15" ht="96" customHeight="1" s="51">
      <c r="A15" s="17" t="n">
        <v>11</v>
      </c>
      <c r="B15" s="18" t="n">
        <v>45544</v>
      </c>
      <c r="C15" s="15" t="inlineStr">
        <is>
          <t>https://www.instagram.com/reel/C_suIoRKWGX/</t>
        </is>
      </c>
      <c r="D15" s="43" t="inlineStr">
        <is>
          <t>リール（動画）</t>
        </is>
      </c>
      <c r="E15" s="43" t="inlineStr">
        <is>
          <t>農業・農村開発</t>
        </is>
      </c>
      <c r="F15" s="30" t="inlineStr">
        <is>
          <t>一村一品（イシククル・女性生産者）</t>
        </is>
      </c>
      <c r="G15" s="43" t="inlineStr">
        <is>
          <t>受益者・現地の人の声</t>
        </is>
      </c>
      <c r="H15" s="43" t="inlineStr">
        <is>
          <t>コミュニティ形成（ファンとの交流）</t>
        </is>
      </c>
      <c r="I15" s="45" t="n"/>
      <c r="J15" s="31" t="n">
        <v>58</v>
      </c>
      <c r="K15" s="32" t="n">
        <v>21281</v>
      </c>
      <c r="L15" s="32" t="n">
        <v>1178</v>
      </c>
      <c r="M15" s="32" t="n">
        <v>57</v>
      </c>
      <c r="N15" s="32" t="n">
        <v>4877</v>
      </c>
      <c r="O15" s="35">
        <f>IFERROR(K15/N15,"")</f>
        <v/>
      </c>
      <c r="P15" s="37">
        <f>IFERROR(L15/K15,"")</f>
        <v/>
      </c>
      <c r="Q15" s="30" t="n"/>
      <c r="R15" s="41" t="inlineStr">
        <is>
          <t>Кыргызга кумга куйган суудай эле сиңиптир бул кыз😂</t>
        </is>
      </c>
      <c r="S15" s="30" t="n"/>
    </row>
    <row r="16" ht="96" customHeight="1" s="51">
      <c r="A16" s="17" t="n">
        <v>12</v>
      </c>
      <c r="B16" s="18" t="n">
        <v>45821</v>
      </c>
      <c r="C16" s="15" t="inlineStr">
        <is>
          <t>https://www.instagram.com/reel/DK02LqgITED/</t>
        </is>
      </c>
      <c r="D16" s="43" t="inlineStr">
        <is>
          <t>リール（動画）</t>
        </is>
      </c>
      <c r="E16" s="43" t="inlineStr">
        <is>
          <t>環境・気候変動</t>
        </is>
      </c>
      <c r="F16" s="30" t="inlineStr">
        <is>
          <t>オシュ国立大学の研究センター立ち上げ</t>
        </is>
      </c>
      <c r="G16" s="43" t="inlineStr">
        <is>
          <t>告知・お知らせのみ</t>
        </is>
      </c>
      <c r="H16" s="43" t="inlineStr">
        <is>
          <t>実績・成果の報告（説明責任）</t>
        </is>
      </c>
      <c r="I16" s="30" t="n"/>
      <c r="J16" s="31" t="n">
        <v>163</v>
      </c>
      <c r="K16" s="32" t="n">
        <v>20750</v>
      </c>
      <c r="L16" s="32" t="n">
        <v>216</v>
      </c>
      <c r="M16" s="32" t="n">
        <v>5</v>
      </c>
      <c r="N16" s="32" t="n">
        <v>4877</v>
      </c>
      <c r="O16" s="35">
        <f>IFERROR(K16/N16,"")</f>
        <v/>
      </c>
      <c r="P16" s="37">
        <f>IFERROR(L16/K16,"")</f>
        <v/>
      </c>
      <c r="Q16" s="30" t="n"/>
      <c r="R16" s="41" t="n"/>
      <c r="S16" s="30" t="n"/>
    </row>
    <row r="17" ht="96" customHeight="1" s="51">
      <c r="A17" s="17" t="n">
        <v>13</v>
      </c>
      <c r="B17" s="18" t="n">
        <v>45545</v>
      </c>
      <c r="C17" s="15" t="inlineStr">
        <is>
          <t>https://www.instagram.com/reel/C_vO9CwKPDC/</t>
        </is>
      </c>
      <c r="D17" s="43" t="inlineStr">
        <is>
          <t>リール（動画）</t>
        </is>
      </c>
      <c r="E17" s="43" t="inlineStr">
        <is>
          <t>現地の文化・暮らし</t>
        </is>
      </c>
      <c r="F17" s="30" t="inlineStr">
        <is>
          <t>在キルギス日本人の好きなキルギス料理</t>
        </is>
      </c>
      <c r="G17" s="43" t="inlineStr">
        <is>
          <t>インタビュー・Q&amp;A</t>
        </is>
      </c>
      <c r="H17" s="43" t="inlineStr">
        <is>
          <t>共感・親近感の醸成</t>
        </is>
      </c>
      <c r="I17" s="30" t="n"/>
      <c r="J17" s="31" t="n">
        <v>38</v>
      </c>
      <c r="K17" s="32" t="n">
        <v>19538</v>
      </c>
      <c r="L17" s="32" t="n">
        <v>1288</v>
      </c>
      <c r="M17" s="32" t="n">
        <v>68</v>
      </c>
      <c r="N17" s="32" t="n">
        <v>4877</v>
      </c>
      <c r="O17" s="35">
        <f>IFERROR(K17/N17,"")</f>
        <v/>
      </c>
      <c r="P17" s="37">
        <f>IFERROR(L17/K17,"")</f>
        <v/>
      </c>
      <c r="Q17" s="30" t="n"/>
      <c r="R17" s="41" t="n"/>
      <c r="S17" s="45" t="n"/>
    </row>
    <row r="18" ht="96" customHeight="1" s="51">
      <c r="A18" s="17" t="n">
        <v>14</v>
      </c>
      <c r="B18" s="18" t="n">
        <v>45546</v>
      </c>
      <c r="C18" s="15" t="inlineStr">
        <is>
          <t>https://www.instagram.com/reel/C_x-hovqAmy/</t>
        </is>
      </c>
      <c r="D18" s="43" t="inlineStr">
        <is>
          <t>リール（動画）</t>
        </is>
      </c>
      <c r="E18" s="43" t="inlineStr">
        <is>
          <t>現地の文化・暮らし</t>
        </is>
      </c>
      <c r="F18" s="30" t="inlineStr">
        <is>
          <t>同企画の第2弾</t>
        </is>
      </c>
      <c r="G18" s="43" t="inlineStr">
        <is>
          <t>インタビュー・Q&amp;A</t>
        </is>
      </c>
      <c r="H18" s="43" t="inlineStr">
        <is>
          <t>共感・親近感の醸成</t>
        </is>
      </c>
      <c r="I18" s="30" t="n"/>
      <c r="J18" s="31" t="n">
        <v>53</v>
      </c>
      <c r="K18" s="32" t="n">
        <v>17439</v>
      </c>
      <c r="L18" s="32" t="n">
        <v>796</v>
      </c>
      <c r="M18" s="32" t="n">
        <v>31</v>
      </c>
      <c r="N18" s="32" t="n">
        <v>4877</v>
      </c>
      <c r="O18" s="35">
        <f>IFERROR(K18/N18,"")</f>
        <v/>
      </c>
      <c r="P18" s="37">
        <f>IFERROR(L18/K18,"")</f>
        <v/>
      </c>
      <c r="Q18" s="30" t="n"/>
      <c r="R18" s="41" t="n"/>
      <c r="S18" s="30" t="n"/>
    </row>
    <row r="19" ht="96" customHeight="1" s="51">
      <c r="A19" s="17" t="n">
        <v>15</v>
      </c>
      <c r="B19" s="18" t="n">
        <v>46056</v>
      </c>
      <c r="C19" s="15" t="inlineStr">
        <is>
          <t>https://www.instagram.com/reel/DUSxZ17knVX/</t>
        </is>
      </c>
      <c r="D19" s="43" t="inlineStr">
        <is>
          <t>リール（動画）</t>
        </is>
      </c>
      <c r="E19" s="43" t="inlineStr">
        <is>
          <t>現地の文化・暮らし</t>
        </is>
      </c>
      <c r="F19" s="45" t="inlineStr">
        <is>
          <t>25周年記念式典／日本人とキルギス人の相互認識</t>
        </is>
      </c>
      <c r="G19" s="43" t="inlineStr">
        <is>
          <t>インタビュー・Q&amp;A</t>
        </is>
      </c>
      <c r="H19" s="43" t="inlineStr">
        <is>
          <t>共感・親近感の醸成</t>
        </is>
      </c>
      <c r="I19" s="30" t="n"/>
      <c r="J19" s="31" t="n">
        <v>90</v>
      </c>
      <c r="K19" s="32" t="n">
        <v>17123</v>
      </c>
      <c r="L19" s="32" t="n">
        <v>955</v>
      </c>
      <c r="M19" s="32" t="n">
        <v>44</v>
      </c>
      <c r="N19" s="32" t="n">
        <v>4877</v>
      </c>
      <c r="O19" s="35">
        <f>IFERROR(K19/N19,"")</f>
        <v/>
      </c>
      <c r="P19" s="37">
        <f>IFERROR(L19/K19,"")</f>
        <v/>
      </c>
      <c r="Q19" s="30" t="n"/>
      <c r="R19" s="41" t="n"/>
      <c r="S19" s="30" t="n"/>
    </row>
    <row r="20" ht="96" customHeight="1" s="51">
      <c r="A20" s="17" t="n">
        <v>16</v>
      </c>
      <c r="B20" s="18" t="n">
        <v>45846</v>
      </c>
      <c r="C20" s="15" t="inlineStr">
        <is>
          <t>https://www.instagram.com/reel/DL1-yseMBkF/</t>
        </is>
      </c>
      <c r="D20" s="43" t="inlineStr">
        <is>
          <t>リール（動画）</t>
        </is>
      </c>
      <c r="E20" s="43" t="inlineStr">
        <is>
          <t>現地の文化・暮らし</t>
        </is>
      </c>
      <c r="F20" s="30" t="inlineStr">
        <is>
          <t>キルギスと日本の文化的類似</t>
        </is>
      </c>
      <c r="G20" s="43" t="inlineStr">
        <is>
          <t>個人の物語（1人称の語り）</t>
        </is>
      </c>
      <c r="H20" s="43" t="inlineStr">
        <is>
          <t>共感・親近感の醸成</t>
        </is>
      </c>
      <c r="I20" s="45" t="n"/>
      <c r="J20" s="31" t="n">
        <v>136</v>
      </c>
      <c r="K20" s="32" t="n">
        <v>16180</v>
      </c>
      <c r="L20" s="32" t="n">
        <v>903</v>
      </c>
      <c r="M20" s="32" t="n">
        <v>50</v>
      </c>
      <c r="N20" s="32" t="n">
        <v>4877</v>
      </c>
      <c r="O20" s="35">
        <f>IFERROR(K20/N20,"")</f>
        <v/>
      </c>
      <c r="P20" s="37">
        <f>IFERROR(L20/K20,"")</f>
        <v/>
      </c>
      <c r="Q20" s="30" t="n"/>
      <c r="R20" s="41" t="n"/>
      <c r="S20" s="30" t="n"/>
    </row>
    <row r="21" ht="96" customHeight="1" s="51">
      <c r="A21" s="17" t="n">
        <v>17</v>
      </c>
      <c r="B21" s="18" t="n">
        <v>45541</v>
      </c>
      <c r="C21" s="15" t="inlineStr">
        <is>
          <t>https://www.instagram.com/reel/C_k3bCsq3uD/</t>
        </is>
      </c>
      <c r="D21" s="43" t="inlineStr">
        <is>
          <t>リール（動画）</t>
        </is>
      </c>
      <c r="E21" s="43" t="inlineStr">
        <is>
          <t>ボランティア／派遣隊員</t>
        </is>
      </c>
      <c r="F21" s="45" t="inlineStr">
        <is>
          <t>JICA海外協力隊32名の活動紹介</t>
        </is>
      </c>
      <c r="G21" s="43" t="inlineStr">
        <is>
          <t>告知・お知らせのみ</t>
        </is>
      </c>
      <c r="H21" s="43" t="inlineStr">
        <is>
          <t>コミュニティ形成（ファンとの交流）</t>
        </is>
      </c>
      <c r="I21" s="30" t="n"/>
      <c r="J21" s="31" t="n">
        <v>42</v>
      </c>
      <c r="K21" s="32" t="n">
        <v>15462</v>
      </c>
      <c r="L21" s="32" t="n">
        <v>405</v>
      </c>
      <c r="M21" s="32" t="n">
        <v>22</v>
      </c>
      <c r="N21" s="32" t="n">
        <v>4877</v>
      </c>
      <c r="O21" s="35">
        <f>IFERROR(K21/N21,"")</f>
        <v/>
      </c>
      <c r="P21" s="37">
        <f>IFERROR(L21/K21,"")</f>
        <v/>
      </c>
      <c r="Q21" s="30" t="n"/>
      <c r="R21" s="41" t="n"/>
      <c r="S21" s="30" t="n"/>
    </row>
    <row r="22" ht="96" customHeight="1" s="51">
      <c r="A22" s="17" t="n">
        <v>18</v>
      </c>
      <c r="B22" s="18" t="n">
        <v>46069</v>
      </c>
      <c r="C22" s="15" t="inlineStr">
        <is>
          <t>https://www.instagram.com/reel/DU0PvTYEy_v/</t>
        </is>
      </c>
      <c r="D22" s="43" t="inlineStr">
        <is>
          <t>リール（動画）</t>
        </is>
      </c>
      <c r="E22" s="43" t="inlineStr">
        <is>
          <t>ボランティア／派遣隊員</t>
        </is>
      </c>
      <c r="F22" s="30" t="inlineStr">
        <is>
          <t>隊員本人による一人称の語り（着物）</t>
        </is>
      </c>
      <c r="G22" s="43" t="inlineStr">
        <is>
          <t>個人の物語（1人称の語り）</t>
        </is>
      </c>
      <c r="H22" s="43" t="inlineStr">
        <is>
          <t>共感・親近感の醸成</t>
        </is>
      </c>
      <c r="I22" s="30" t="n"/>
      <c r="J22" s="31" t="n">
        <v>85</v>
      </c>
      <c r="K22" s="32" t="n">
        <v>13784</v>
      </c>
      <c r="L22" s="32" t="n">
        <v>877</v>
      </c>
      <c r="M22" s="32" t="n">
        <v>29</v>
      </c>
      <c r="N22" s="32" t="n">
        <v>4877</v>
      </c>
      <c r="O22" s="35">
        <f>IFERROR(K22/N22,"")</f>
        <v/>
      </c>
      <c r="P22" s="37">
        <f>IFERROR(L22/K22,"")</f>
        <v/>
      </c>
      <c r="Q22" s="30" t="n"/>
      <c r="R22" s="41" t="n"/>
      <c r="S22" s="30" t="n"/>
    </row>
    <row r="23" ht="96" customHeight="1" s="51">
      <c r="A23" s="17" t="n">
        <v>19</v>
      </c>
      <c r="B23" s="18" t="n">
        <v>45541</v>
      </c>
      <c r="C23" s="15" t="inlineStr">
        <is>
          <t>https://www.instagram.com/reel/C_kzHQsqBiE/</t>
        </is>
      </c>
      <c r="D23" s="43" t="inlineStr">
        <is>
          <t>リール（動画）</t>
        </is>
      </c>
      <c r="E23" s="43" t="inlineStr">
        <is>
          <t>その他</t>
        </is>
      </c>
      <c r="F23" s="45" t="inlineStr">
        <is>
          <t>JICAとは何か（組織紹介）</t>
        </is>
      </c>
      <c r="G23" s="43" t="inlineStr">
        <is>
          <t>告知・お知らせのみ</t>
        </is>
      </c>
      <c r="H23" s="43" t="inlineStr">
        <is>
          <t>事業内容の理解促進</t>
        </is>
      </c>
      <c r="I23" s="30" t="n"/>
      <c r="J23" s="31" t="n">
        <v>68</v>
      </c>
      <c r="K23" s="32" t="n">
        <v>13192</v>
      </c>
      <c r="L23" s="32" t="n">
        <v>326</v>
      </c>
      <c r="M23" s="32" t="n">
        <v>13</v>
      </c>
      <c r="N23" s="32" t="n">
        <v>4877</v>
      </c>
      <c r="O23" s="35">
        <f>IFERROR(K23/N23,"")</f>
        <v/>
      </c>
      <c r="P23" s="37">
        <f>IFERROR(L23/K23,"")</f>
        <v/>
      </c>
      <c r="Q23" s="30" t="n"/>
      <c r="R23" s="41" t="n"/>
      <c r="S23" s="30" t="n"/>
    </row>
    <row r="24" ht="96" customHeight="1" s="51">
      <c r="A24" s="17" t="n">
        <v>20</v>
      </c>
      <c r="B24" s="18" t="n">
        <v>45681</v>
      </c>
      <c r="C24" s="15" t="inlineStr">
        <is>
          <t>https://www.instagram.com/reel/DFM-cntPTAe/</t>
        </is>
      </c>
      <c r="D24" s="43" t="inlineStr">
        <is>
          <t>リール（動画）</t>
        </is>
      </c>
      <c r="E24" s="43" t="inlineStr">
        <is>
          <t>職員・スタッフ紹介</t>
        </is>
      </c>
      <c r="F24" s="30" t="inlineStr">
        <is>
          <t>同僚をもっと知る企画</t>
        </is>
      </c>
      <c r="G24" s="43" t="inlineStr">
        <is>
          <t>インタビュー・Q&amp;A</t>
        </is>
      </c>
      <c r="H24" s="43" t="inlineStr">
        <is>
          <t>共感・親近感の醸成</t>
        </is>
      </c>
      <c r="I24" s="30" t="n"/>
      <c r="J24" s="31" t="n">
        <v>89</v>
      </c>
      <c r="K24" s="32" t="n">
        <v>12950</v>
      </c>
      <c r="L24" s="32" t="n">
        <v>394</v>
      </c>
      <c r="M24" s="32" t="n">
        <v>14</v>
      </c>
      <c r="N24" s="32" t="n">
        <v>4877</v>
      </c>
      <c r="O24" s="35">
        <f>IFERROR(K24/N24,"")</f>
        <v/>
      </c>
      <c r="P24" s="37">
        <f>IFERROR(L24/K24,"")</f>
        <v/>
      </c>
      <c r="Q24" s="30" t="n"/>
      <c r="R24" s="41" t="n"/>
      <c r="S24" s="30" t="n"/>
    </row>
    <row r="25" ht="15.75" customHeight="1" s="51"/>
    <row r="26" ht="15.75" customHeight="1" s="51">
      <c r="I26" s="46" t="inlineStr">
        <is>
          <t>上位20件の平均 →</t>
        </is>
      </c>
      <c r="J26" s="47">
        <f>IFERROR(AVERAGE(J5:J24),"")</f>
        <v/>
      </c>
      <c r="K26" s="48">
        <f>IFERROR(AVERAGE(K5:K24),"")</f>
        <v/>
      </c>
      <c r="L26" s="48">
        <f>IFERROR(AVERAGE(L5:L24),"")</f>
        <v/>
      </c>
      <c r="M26" s="48">
        <f>IFERROR(AVERAGE(M5:M24),"")</f>
        <v/>
      </c>
      <c r="O26" s="49">
        <f>IFERROR(AVERAGE(O5:O24),"")</f>
        <v/>
      </c>
      <c r="P26" s="50">
        <f>IFERROR(AVERAGE(P5:P24),"")</f>
        <v/>
      </c>
    </row>
    <row r="27" ht="15.75" customHeight="1" s="51"/>
    <row r="28" ht="15.75" customHeight="1" s="51"/>
    <row r="29" ht="15.75" customHeight="1" s="51"/>
    <row r="30" ht="15.75" customHeight="1" s="51"/>
    <row r="31" ht="15.75" customHeight="1" s="51"/>
    <row r="32" ht="15.75" customHeight="1" s="51"/>
    <row r="33" ht="15.75" customHeight="1" s="51"/>
    <row r="34" ht="15.75" customHeight="1" s="51"/>
    <row r="35" ht="15.75" customHeight="1" s="51"/>
    <row r="36" ht="15.75" customHeight="1" s="51"/>
    <row r="37" ht="15.75" customHeight="1" s="51"/>
    <row r="38" ht="15.75" customHeight="1" s="51"/>
    <row r="39" ht="15.75" customHeight="1" s="51"/>
    <row r="40" ht="15.75" customHeight="1" s="51"/>
    <row r="41" ht="15.75" customHeight="1" s="51"/>
    <row r="42" ht="15.75" customHeight="1" s="51"/>
    <row r="43" ht="15.75" customHeight="1" s="51"/>
    <row r="44" ht="15.75" customHeight="1" s="51"/>
    <row r="45" ht="15.75" customHeight="1" s="51"/>
    <row r="46" ht="15.75" customHeight="1" s="51"/>
    <row r="47" ht="15.75" customHeight="1" s="51"/>
    <row r="48" ht="15.75" customHeight="1" s="51"/>
    <row r="49" ht="15.75" customHeight="1" s="51"/>
    <row r="50" ht="15.75" customHeight="1" s="51"/>
    <row r="51" ht="15.75" customHeight="1" s="51"/>
    <row r="52" ht="15.75" customHeight="1" s="51"/>
    <row r="53" ht="15.75" customHeight="1" s="51"/>
    <row r="54" ht="15.75" customHeight="1" s="51"/>
    <row r="55" ht="15.75" customHeight="1" s="51"/>
    <row r="56" ht="15.75" customHeight="1" s="51"/>
    <row r="57" ht="15.75" customHeight="1" s="51"/>
    <row r="58" ht="15.75" customHeight="1" s="51"/>
    <row r="59" ht="15.75" customHeight="1" s="51"/>
    <row r="60" ht="15.75" customHeight="1" s="51"/>
    <row r="61" ht="15.75" customHeight="1" s="51"/>
    <row r="62" ht="15.75" customHeight="1" s="51"/>
    <row r="63" ht="15.75" customHeight="1" s="51"/>
    <row r="64" ht="15.75" customHeight="1" s="51"/>
    <row r="65" ht="15.75" customHeight="1" s="51"/>
    <row r="66" ht="15.75" customHeight="1" s="51"/>
    <row r="67" ht="15.75" customHeight="1" s="51"/>
    <row r="68" ht="15.75" customHeight="1" s="51"/>
    <row r="69" ht="15.75" customHeight="1" s="51"/>
    <row r="70" ht="15.75" customHeight="1" s="51"/>
    <row r="71" ht="15.75" customHeight="1" s="51"/>
    <row r="72" ht="15.75" customHeight="1" s="51"/>
    <row r="73" ht="15.75" customHeight="1" s="51"/>
    <row r="74" ht="15.75" customHeight="1" s="51"/>
    <row r="75" ht="15.75" customHeight="1" s="51"/>
    <row r="76" ht="15.75" customHeight="1" s="51"/>
    <row r="77" ht="15.75" customHeight="1" s="51"/>
    <row r="78" ht="15.75" customHeight="1" s="51"/>
    <row r="79" ht="15.75" customHeight="1" s="51"/>
    <row r="80" ht="15.75" customHeight="1" s="51"/>
    <row r="81" ht="15.75" customHeight="1" s="51"/>
    <row r="82" ht="15.75" customHeight="1" s="51"/>
    <row r="83" ht="15.75" customHeight="1" s="51"/>
    <row r="84" ht="15.75" customHeight="1" s="51"/>
    <row r="85" ht="15.75" customHeight="1" s="51"/>
    <row r="86" ht="15.75" customHeight="1" s="51"/>
    <row r="87" ht="15.75" customHeight="1" s="51"/>
    <row r="88" ht="15.75" customHeight="1" s="51"/>
    <row r="89" ht="15.75" customHeight="1" s="51"/>
    <row r="90" ht="15.75" customHeight="1" s="51"/>
    <row r="91" ht="15.75" customHeight="1" s="51"/>
    <row r="92" ht="15.75" customHeight="1" s="51"/>
    <row r="93" ht="15.75" customHeight="1" s="51"/>
    <row r="94" ht="15.75" customHeight="1" s="51"/>
    <row r="95" ht="15.75" customHeight="1" s="51"/>
    <row r="96" ht="15.75" customHeight="1" s="51"/>
    <row r="97" ht="15.75" customHeight="1" s="51"/>
    <row r="98" ht="15.75" customHeight="1" s="51"/>
    <row r="99" ht="15.75" customHeight="1" s="51"/>
    <row r="100" ht="15.75" customHeight="1" s="51"/>
    <row r="101" ht="15.75" customHeight="1" s="51"/>
    <row r="102" ht="15.75" customHeight="1" s="51"/>
    <row r="103" ht="15.75" customHeight="1" s="51"/>
    <row r="104" ht="15.75" customHeight="1" s="51"/>
    <row r="105" ht="15.75" customHeight="1" s="51"/>
    <row r="106" ht="15.75" customHeight="1" s="51"/>
    <row r="107" ht="15.75" customHeight="1" s="51"/>
    <row r="108" ht="15.75" customHeight="1" s="51"/>
    <row r="109" ht="15.75" customHeight="1" s="51"/>
    <row r="110" ht="15.75" customHeight="1" s="51"/>
    <row r="111" ht="15.75" customHeight="1" s="51"/>
    <row r="112" ht="15.75" customHeight="1" s="51"/>
    <row r="113" ht="15.75" customHeight="1" s="51"/>
    <row r="114" ht="15.75" customHeight="1" s="51"/>
    <row r="115" ht="15.75" customHeight="1" s="51"/>
    <row r="116" ht="15.75" customHeight="1" s="51"/>
    <row r="117" ht="15.75" customHeight="1" s="51"/>
    <row r="118" ht="15.75" customHeight="1" s="51"/>
    <row r="119" ht="15.75" customHeight="1" s="51"/>
    <row r="120" ht="15.75" customHeight="1" s="51"/>
    <row r="121" ht="15.75" customHeight="1" s="51"/>
    <row r="122" ht="15.75" customHeight="1" s="51"/>
    <row r="123" ht="15.75" customHeight="1" s="51"/>
    <row r="124" ht="15.75" customHeight="1" s="51"/>
    <row r="125" ht="15.75" customHeight="1" s="51"/>
    <row r="126" ht="15.75" customHeight="1" s="51"/>
    <row r="127" ht="15.75" customHeight="1" s="51"/>
    <row r="128" ht="15.75" customHeight="1" s="51"/>
    <row r="129" ht="15.75" customHeight="1" s="51"/>
    <row r="130" ht="15.75" customHeight="1" s="51"/>
    <row r="131" ht="15.75" customHeight="1" s="51"/>
    <row r="132" ht="15.75" customHeight="1" s="51"/>
    <row r="133" ht="15.75" customHeight="1" s="51"/>
    <row r="134" ht="15.75" customHeight="1" s="51"/>
    <row r="135" ht="15.75" customHeight="1" s="51"/>
    <row r="136" ht="15.75" customHeight="1" s="51"/>
    <row r="137" ht="15.75" customHeight="1" s="51"/>
    <row r="138" ht="15.75" customHeight="1" s="51"/>
    <row r="139" ht="15.75" customHeight="1" s="51"/>
    <row r="140" ht="15.75" customHeight="1" s="51"/>
    <row r="141" ht="15.75" customHeight="1" s="51"/>
    <row r="142" ht="15.75" customHeight="1" s="51"/>
    <row r="143" ht="15.75" customHeight="1" s="51"/>
    <row r="144" ht="15.75" customHeight="1" s="51"/>
    <row r="145" ht="15.75" customHeight="1" s="51"/>
    <row r="146" ht="15.75" customHeight="1" s="51"/>
    <row r="147" ht="15.75" customHeight="1" s="51"/>
    <row r="148" ht="15.75" customHeight="1" s="51"/>
    <row r="149" ht="15.75" customHeight="1" s="51"/>
    <row r="150" ht="15.75" customHeight="1" s="51"/>
    <row r="151" ht="15.75" customHeight="1" s="51"/>
    <row r="152" ht="15.75" customHeight="1" s="51"/>
    <row r="153" ht="15.75" customHeight="1" s="51"/>
    <row r="154" ht="15.75" customHeight="1" s="51"/>
    <row r="155" ht="15.75" customHeight="1" s="51"/>
    <row r="156" ht="15.75" customHeight="1" s="51"/>
    <row r="157" ht="15.75" customHeight="1" s="51"/>
    <row r="158" ht="15.75" customHeight="1" s="51"/>
    <row r="159" ht="15.75" customHeight="1" s="51"/>
    <row r="160" ht="15.75" customHeight="1" s="51"/>
    <row r="161" ht="15.75" customHeight="1" s="51"/>
    <row r="162" ht="15.75" customHeight="1" s="51"/>
    <row r="163" ht="15.75" customHeight="1" s="51"/>
    <row r="164" ht="15.75" customHeight="1" s="51"/>
    <row r="165" ht="15.75" customHeight="1" s="51"/>
    <row r="166" ht="15.75" customHeight="1" s="51"/>
    <row r="167" ht="15.75" customHeight="1" s="51"/>
    <row r="168" ht="15.75" customHeight="1" s="51"/>
    <row r="169" ht="15.75" customHeight="1" s="51"/>
    <row r="170" ht="15.75" customHeight="1" s="51"/>
    <row r="171" ht="15.75" customHeight="1" s="51"/>
    <row r="172" ht="15.75" customHeight="1" s="51"/>
    <row r="173" ht="15.75" customHeight="1" s="51"/>
    <row r="174" ht="15.75" customHeight="1" s="51"/>
    <row r="175" ht="15.75" customHeight="1" s="51"/>
    <row r="176" ht="15.75" customHeight="1" s="51"/>
    <row r="177" ht="15.75" customHeight="1" s="51"/>
    <row r="178" ht="15.75" customHeight="1" s="51"/>
    <row r="179" ht="15.75" customHeight="1" s="51"/>
    <row r="180" ht="15.75" customHeight="1" s="51"/>
    <row r="181" ht="15.75" customHeight="1" s="51"/>
    <row r="182" ht="15.75" customHeight="1" s="51"/>
    <row r="183" ht="15.75" customHeight="1" s="51"/>
    <row r="184" ht="15.75" customHeight="1" s="51"/>
    <row r="185" ht="15.75" customHeight="1" s="51"/>
    <row r="186" ht="15.75" customHeight="1" s="51"/>
    <row r="187" ht="15.75" customHeight="1" s="51"/>
    <row r="188" ht="15.75" customHeight="1" s="51"/>
    <row r="189" ht="15.75" customHeight="1" s="51"/>
    <row r="190" ht="15.75" customHeight="1" s="51"/>
    <row r="191" ht="15.75" customHeight="1" s="51"/>
    <row r="192" ht="15.75" customHeight="1" s="51"/>
    <row r="193" ht="15.75" customHeight="1" s="51"/>
    <row r="194" ht="15.75" customHeight="1" s="51"/>
    <row r="195" ht="15.75" customHeight="1" s="51"/>
    <row r="196" ht="15.75" customHeight="1" s="51"/>
    <row r="197" ht="15.75" customHeight="1" s="51"/>
    <row r="198" ht="15.75" customHeight="1" s="51"/>
    <row r="199" ht="15.75" customHeight="1" s="51"/>
    <row r="200" ht="15.75" customHeight="1" s="51"/>
    <row r="201" ht="15.75" customHeight="1" s="51"/>
    <row r="202" ht="15.75" customHeight="1" s="51"/>
    <row r="203" ht="15.75" customHeight="1" s="51"/>
    <row r="204" ht="15.75" customHeight="1" s="51"/>
    <row r="205" ht="15.75" customHeight="1" s="51"/>
    <row r="206" ht="15.75" customHeight="1" s="51"/>
    <row r="207" ht="15.75" customHeight="1" s="51"/>
    <row r="208" ht="15.75" customHeight="1" s="51"/>
    <row r="209" ht="15.75" customHeight="1" s="51"/>
    <row r="210" ht="15.75" customHeight="1" s="51"/>
    <row r="211" ht="15.75" customHeight="1" s="51"/>
    <row r="212" ht="15.75" customHeight="1" s="51"/>
    <row r="213" ht="15.75" customHeight="1" s="51"/>
    <row r="214" ht="15.75" customHeight="1" s="51"/>
    <row r="215" ht="15.75" customHeight="1" s="51"/>
    <row r="216" ht="15.75" customHeight="1" s="51"/>
    <row r="217" ht="15.75" customHeight="1" s="51"/>
    <row r="218" ht="15.75" customHeight="1" s="51"/>
    <row r="219" ht="15.75" customHeight="1" s="51"/>
    <row r="220" ht="15.75" customHeight="1" s="51"/>
    <row r="221" ht="15.75" customHeight="1" s="51"/>
    <row r="222" ht="15.75" customHeight="1" s="51"/>
    <row r="223" ht="15.75" customHeight="1" s="51"/>
    <row r="224" ht="15.75" customHeight="1" s="51"/>
    <row r="225" ht="15.75" customHeight="1" s="51"/>
    <row r="226" ht="15.75" customHeight="1" s="51"/>
    <row r="227" ht="15.75" customHeight="1" s="51"/>
    <row r="228" ht="15.75" customHeight="1" s="51"/>
    <row r="229" ht="15.75" customHeight="1" s="51"/>
    <row r="230" ht="15.75" customHeight="1" s="51"/>
    <row r="231" ht="15.75" customHeight="1" s="51"/>
    <row r="232" ht="15.75" customHeight="1" s="51"/>
    <row r="233" ht="15.75" customHeight="1" s="51"/>
    <row r="234" ht="15.75" customHeight="1" s="51"/>
    <row r="235" ht="15.75" customHeight="1" s="51"/>
    <row r="236" ht="15.75" customHeight="1" s="51"/>
    <row r="237" ht="15.75" customHeight="1" s="51"/>
    <row r="238" ht="15.75" customHeight="1" s="51"/>
    <row r="239" ht="15.75" customHeight="1" s="51"/>
    <row r="240" ht="15.75" customHeight="1" s="51"/>
    <row r="241" ht="15.75" customHeight="1" s="51"/>
    <row r="242" ht="15.75" customHeight="1" s="51"/>
    <row r="243" ht="15.75" customHeight="1" s="51"/>
    <row r="244" ht="15.75" customHeight="1" s="51"/>
    <row r="245" ht="15.75" customHeight="1" s="51"/>
    <row r="246" ht="15.75" customHeight="1" s="51"/>
    <row r="247" ht="15.75" customHeight="1" s="51"/>
    <row r="248" ht="15.75" customHeight="1" s="51"/>
    <row r="249" ht="15.75" customHeight="1" s="51"/>
    <row r="250" ht="15.75" customHeight="1" s="51"/>
    <row r="251" ht="15.75" customHeight="1" s="51"/>
    <row r="252" ht="15.75" customHeight="1" s="51"/>
    <row r="253" ht="15.75" customHeight="1" s="51"/>
    <row r="254" ht="15.75" customHeight="1" s="51"/>
    <row r="255" ht="15.75" customHeight="1" s="51"/>
    <row r="256" ht="15.75" customHeight="1" s="51"/>
    <row r="257" ht="15.75" customHeight="1" s="51"/>
    <row r="258" ht="15.75" customHeight="1" s="51"/>
    <row r="259" ht="15.75" customHeight="1" s="51"/>
    <row r="260" ht="15.75" customHeight="1" s="51"/>
    <row r="261" ht="15.75" customHeight="1" s="51"/>
    <row r="262" ht="15.75" customHeight="1" s="51"/>
    <row r="263" ht="15.75" customHeight="1" s="51"/>
    <row r="264" ht="15.75" customHeight="1" s="51"/>
    <row r="265" ht="15.75" customHeight="1" s="51"/>
    <row r="266" ht="15.75" customHeight="1" s="51"/>
    <row r="267" ht="15.75" customHeight="1" s="51"/>
    <row r="268" ht="15.75" customHeight="1" s="51"/>
    <row r="269" ht="15.75" customHeight="1" s="51"/>
    <row r="270" ht="15.75" customHeight="1" s="51"/>
    <row r="271" ht="15.75" customHeight="1" s="51"/>
    <row r="272" ht="15.75" customHeight="1" s="51"/>
    <row r="273" ht="15.75" customHeight="1" s="51"/>
    <row r="274" ht="15.75" customHeight="1" s="51"/>
    <row r="275" ht="15.75" customHeight="1" s="51"/>
    <row r="276" ht="15.75" customHeight="1" s="51"/>
    <row r="277" ht="15.75" customHeight="1" s="51"/>
    <row r="278" ht="15.75" customHeight="1" s="51"/>
    <row r="279" ht="15.75" customHeight="1" s="51"/>
    <row r="280" ht="15.75" customHeight="1" s="51"/>
    <row r="281" ht="15.75" customHeight="1" s="51"/>
    <row r="282" ht="15.75" customHeight="1" s="51"/>
    <row r="283" ht="15.75" customHeight="1" s="51"/>
    <row r="284" ht="15.75" customHeight="1" s="51"/>
    <row r="285" ht="15.75" customHeight="1" s="51"/>
    <row r="286" ht="15.75" customHeight="1" s="51"/>
    <row r="287" ht="15.75" customHeight="1" s="51"/>
    <row r="288" ht="15.75" customHeight="1" s="51"/>
    <row r="289" ht="15.75" customHeight="1" s="51"/>
    <row r="290" ht="15.75" customHeight="1" s="51"/>
    <row r="291" ht="15.75" customHeight="1" s="51"/>
    <row r="292" ht="15.75" customHeight="1" s="51"/>
    <row r="293" ht="15.75" customHeight="1" s="51"/>
    <row r="294" ht="15.75" customHeight="1" s="51"/>
    <row r="295" ht="15.75" customHeight="1" s="51"/>
    <row r="296" ht="15.75" customHeight="1" s="51"/>
    <row r="297" ht="15.75" customHeight="1" s="51"/>
    <row r="298" ht="15.75" customHeight="1" s="51"/>
    <row r="299" ht="15.75" customHeight="1" s="51"/>
    <row r="300" ht="15.75" customHeight="1" s="51"/>
    <row r="301" ht="15.75" customHeight="1" s="51"/>
    <row r="302" ht="15.75" customHeight="1" s="51"/>
    <row r="303" ht="15.75" customHeight="1" s="51"/>
    <row r="304" ht="15.75" customHeight="1" s="51"/>
    <row r="305" ht="15.75" customHeight="1" s="51"/>
    <row r="306" ht="15.75" customHeight="1" s="51"/>
    <row r="307" ht="15.75" customHeight="1" s="51"/>
    <row r="308" ht="15.75" customHeight="1" s="51"/>
    <row r="309" ht="15.75" customHeight="1" s="51"/>
    <row r="310" ht="15.75" customHeight="1" s="51"/>
    <row r="311" ht="15.75" customHeight="1" s="51"/>
    <row r="312" ht="15.75" customHeight="1" s="51"/>
    <row r="313" ht="15.75" customHeight="1" s="51"/>
    <row r="314" ht="15.75" customHeight="1" s="51"/>
    <row r="315" ht="15.75" customHeight="1" s="51"/>
    <row r="316" ht="15.75" customHeight="1" s="51"/>
    <row r="317" ht="15.75" customHeight="1" s="51"/>
    <row r="318" ht="15.75" customHeight="1" s="51"/>
    <row r="319" ht="15.75" customHeight="1" s="51"/>
    <row r="320" ht="15.75" customHeight="1" s="51"/>
    <row r="321" ht="15.75" customHeight="1" s="51"/>
    <row r="322" ht="15.75" customHeight="1" s="51"/>
    <row r="323" ht="15.75" customHeight="1" s="51"/>
    <row r="324" ht="15.75" customHeight="1" s="51"/>
    <row r="325" ht="15.75" customHeight="1" s="51"/>
    <row r="326" ht="15.75" customHeight="1" s="51"/>
    <row r="327" ht="15.75" customHeight="1" s="51"/>
    <row r="328" ht="15.75" customHeight="1" s="51"/>
    <row r="329" ht="15.75" customHeight="1" s="51"/>
    <row r="330" ht="15.75" customHeight="1" s="51"/>
    <row r="331" ht="15.75" customHeight="1" s="51"/>
    <row r="332" ht="15.75" customHeight="1" s="51"/>
    <row r="333" ht="15.75" customHeight="1" s="51"/>
    <row r="334" ht="15.75" customHeight="1" s="51"/>
    <row r="335" ht="15.75" customHeight="1" s="51"/>
    <row r="336" ht="15.75" customHeight="1" s="51"/>
    <row r="337" ht="15.75" customHeight="1" s="51"/>
    <row r="338" ht="15.75" customHeight="1" s="51"/>
    <row r="339" ht="15.75" customHeight="1" s="51"/>
    <row r="340" ht="15.75" customHeight="1" s="51"/>
    <row r="341" ht="15.75" customHeight="1" s="51"/>
    <row r="342" ht="15.75" customHeight="1" s="51"/>
    <row r="343" ht="15.75" customHeight="1" s="51"/>
    <row r="344" ht="15.75" customHeight="1" s="51"/>
    <row r="345" ht="15.75" customHeight="1" s="51"/>
    <row r="346" ht="15.75" customHeight="1" s="51"/>
    <row r="347" ht="15.75" customHeight="1" s="51"/>
    <row r="348" ht="15.75" customHeight="1" s="51"/>
    <row r="349" ht="15.75" customHeight="1" s="51"/>
    <row r="350" ht="15.75" customHeight="1" s="51"/>
    <row r="351" ht="15.75" customHeight="1" s="51"/>
    <row r="352" ht="15.75" customHeight="1" s="51"/>
    <row r="353" ht="15.75" customHeight="1" s="51"/>
    <row r="354" ht="15.75" customHeight="1" s="51"/>
    <row r="355" ht="15.75" customHeight="1" s="51"/>
    <row r="356" ht="15.75" customHeight="1" s="51"/>
    <row r="357" ht="15.75" customHeight="1" s="51"/>
    <row r="358" ht="15.75" customHeight="1" s="51"/>
    <row r="359" ht="15.75" customHeight="1" s="51"/>
    <row r="360" ht="15.75" customHeight="1" s="51"/>
    <row r="361" ht="15.75" customHeight="1" s="51"/>
    <row r="362" ht="15.75" customHeight="1" s="51"/>
    <row r="363" ht="15.75" customHeight="1" s="51"/>
    <row r="364" ht="15.75" customHeight="1" s="51"/>
    <row r="365" ht="15.75" customHeight="1" s="51"/>
    <row r="366" ht="15.75" customHeight="1" s="51"/>
    <row r="367" ht="15.75" customHeight="1" s="51"/>
    <row r="368" ht="15.75" customHeight="1" s="51"/>
    <row r="369" ht="15.75" customHeight="1" s="51"/>
    <row r="370" ht="15.75" customHeight="1" s="51"/>
    <row r="371" ht="15.75" customHeight="1" s="51"/>
    <row r="372" ht="15.75" customHeight="1" s="51"/>
    <row r="373" ht="15.75" customHeight="1" s="51"/>
    <row r="374" ht="15.75" customHeight="1" s="51"/>
    <row r="375" ht="15.75" customHeight="1" s="51"/>
    <row r="376" ht="15.75" customHeight="1" s="51"/>
    <row r="377" ht="15.75" customHeight="1" s="51"/>
    <row r="378" ht="15.75" customHeight="1" s="51"/>
    <row r="379" ht="15.75" customHeight="1" s="51"/>
    <row r="380" ht="15.75" customHeight="1" s="51"/>
    <row r="381" ht="15.75" customHeight="1" s="51"/>
    <row r="382" ht="15.75" customHeight="1" s="51"/>
    <row r="383" ht="15.75" customHeight="1" s="51"/>
    <row r="384" ht="15.75" customHeight="1" s="51"/>
    <row r="385" ht="15.75" customHeight="1" s="51"/>
    <row r="386" ht="15.75" customHeight="1" s="51"/>
    <row r="387" ht="15.75" customHeight="1" s="51"/>
    <row r="388" ht="15.75" customHeight="1" s="51"/>
    <row r="389" ht="15.75" customHeight="1" s="51"/>
    <row r="390" ht="15.75" customHeight="1" s="51"/>
    <row r="391" ht="15.75" customHeight="1" s="51"/>
    <row r="392" ht="15.75" customHeight="1" s="51"/>
    <row r="393" ht="15.75" customHeight="1" s="51"/>
    <row r="394" ht="15.75" customHeight="1" s="51"/>
    <row r="395" ht="15.75" customHeight="1" s="51"/>
    <row r="396" ht="15.75" customHeight="1" s="51"/>
    <row r="397" ht="15.75" customHeight="1" s="51"/>
    <row r="398" ht="15.75" customHeight="1" s="51"/>
    <row r="399" ht="15.75" customHeight="1" s="51"/>
    <row r="400" ht="15.75" customHeight="1" s="51"/>
    <row r="401" ht="15.75" customHeight="1" s="51"/>
    <row r="402" ht="15.75" customHeight="1" s="51"/>
    <row r="403" ht="15.75" customHeight="1" s="51"/>
    <row r="404" ht="15.75" customHeight="1" s="51"/>
    <row r="405" ht="15.75" customHeight="1" s="51"/>
    <row r="406" ht="15.75" customHeight="1" s="51"/>
    <row r="407" ht="15.75" customHeight="1" s="51"/>
    <row r="408" ht="15.75" customHeight="1" s="51"/>
    <row r="409" ht="15.75" customHeight="1" s="51"/>
    <row r="410" ht="15.75" customHeight="1" s="51"/>
    <row r="411" ht="15.75" customHeight="1" s="51"/>
    <row r="412" ht="15.75" customHeight="1" s="51"/>
    <row r="413" ht="15.75" customHeight="1" s="51"/>
    <row r="414" ht="15.75" customHeight="1" s="51"/>
    <row r="415" ht="15.75" customHeight="1" s="51"/>
    <row r="416" ht="15.75" customHeight="1" s="51"/>
    <row r="417" ht="15.75" customHeight="1" s="51"/>
    <row r="418" ht="15.75" customHeight="1" s="51"/>
    <row r="419" ht="15.75" customHeight="1" s="51"/>
    <row r="420" ht="15.75" customHeight="1" s="51"/>
    <row r="421" ht="15.75" customHeight="1" s="51"/>
    <row r="422" ht="15.75" customHeight="1" s="51"/>
    <row r="423" ht="15.75" customHeight="1" s="51"/>
    <row r="424" ht="15.75" customHeight="1" s="51"/>
    <row r="425" ht="15.75" customHeight="1" s="51"/>
    <row r="426" ht="15.75" customHeight="1" s="51"/>
    <row r="427" ht="15.75" customHeight="1" s="51"/>
    <row r="428" ht="15.75" customHeight="1" s="51"/>
    <row r="429" ht="15.75" customHeight="1" s="51"/>
    <row r="430" ht="15.75" customHeight="1" s="51"/>
    <row r="431" ht="15.75" customHeight="1" s="51"/>
    <row r="432" ht="15.75" customHeight="1" s="51"/>
    <row r="433" ht="15.75" customHeight="1" s="51"/>
    <row r="434" ht="15.75" customHeight="1" s="51"/>
    <row r="435" ht="15.75" customHeight="1" s="51"/>
    <row r="436" ht="15.75" customHeight="1" s="51"/>
    <row r="437" ht="15.75" customHeight="1" s="51"/>
    <row r="438" ht="15.75" customHeight="1" s="51"/>
    <row r="439" ht="15.75" customHeight="1" s="51"/>
    <row r="440" ht="15.75" customHeight="1" s="51"/>
    <row r="441" ht="15.75" customHeight="1" s="51"/>
    <row r="442" ht="15.75" customHeight="1" s="51"/>
    <row r="443" ht="15.75" customHeight="1" s="51"/>
    <row r="444" ht="15.75" customHeight="1" s="51"/>
    <row r="445" ht="15.75" customHeight="1" s="51"/>
    <row r="446" ht="15.75" customHeight="1" s="51"/>
    <row r="447" ht="15.75" customHeight="1" s="51"/>
    <row r="448" ht="15.75" customHeight="1" s="51"/>
    <row r="449" ht="15.75" customHeight="1" s="51"/>
    <row r="450" ht="15.75" customHeight="1" s="51"/>
    <row r="451" ht="15.75" customHeight="1" s="51"/>
    <row r="452" ht="15.75" customHeight="1" s="51"/>
    <row r="453" ht="15.75" customHeight="1" s="51"/>
    <row r="454" ht="15.75" customHeight="1" s="51"/>
    <row r="455" ht="15.75" customHeight="1" s="51"/>
    <row r="456" ht="15.75" customHeight="1" s="51"/>
    <row r="457" ht="15.75" customHeight="1" s="51"/>
    <row r="458" ht="15.75" customHeight="1" s="51"/>
    <row r="459" ht="15.75" customHeight="1" s="51"/>
    <row r="460" ht="15.75" customHeight="1" s="51"/>
    <row r="461" ht="15.75" customHeight="1" s="51"/>
    <row r="462" ht="15.75" customHeight="1" s="51"/>
    <row r="463" ht="15.75" customHeight="1" s="51"/>
    <row r="464" ht="15.75" customHeight="1" s="51"/>
    <row r="465" ht="15.75" customHeight="1" s="51"/>
    <row r="466" ht="15.75" customHeight="1" s="51"/>
    <row r="467" ht="15.75" customHeight="1" s="51"/>
    <row r="468" ht="15.75" customHeight="1" s="51"/>
    <row r="469" ht="15.75" customHeight="1" s="51"/>
    <row r="470" ht="15.75" customHeight="1" s="51"/>
    <row r="471" ht="15.75" customHeight="1" s="51"/>
    <row r="472" ht="15.75" customHeight="1" s="51"/>
    <row r="473" ht="15.75" customHeight="1" s="51"/>
    <row r="474" ht="15.75" customHeight="1" s="51"/>
    <row r="475" ht="15.75" customHeight="1" s="51"/>
    <row r="476" ht="15.75" customHeight="1" s="51"/>
    <row r="477" ht="15.75" customHeight="1" s="51"/>
    <row r="478" ht="15.75" customHeight="1" s="51"/>
    <row r="479" ht="15.75" customHeight="1" s="51"/>
    <row r="480" ht="15.75" customHeight="1" s="51"/>
    <row r="481" ht="15.75" customHeight="1" s="51"/>
    <row r="482" ht="15.75" customHeight="1" s="51"/>
    <row r="483" ht="15.75" customHeight="1" s="51"/>
    <row r="484" ht="15.75" customHeight="1" s="51"/>
    <row r="485" ht="15.75" customHeight="1" s="51"/>
    <row r="486" ht="15.75" customHeight="1" s="51"/>
    <row r="487" ht="15.75" customHeight="1" s="51"/>
    <row r="488" ht="15.75" customHeight="1" s="51"/>
    <row r="489" ht="15.75" customHeight="1" s="51"/>
    <row r="490" ht="15.75" customHeight="1" s="51"/>
    <row r="491" ht="15.75" customHeight="1" s="51"/>
    <row r="492" ht="15.75" customHeight="1" s="51"/>
    <row r="493" ht="15.75" customHeight="1" s="51"/>
    <row r="494" ht="15.75" customHeight="1" s="51"/>
    <row r="495" ht="15.75" customHeight="1" s="51"/>
    <row r="496" ht="15.75" customHeight="1" s="51"/>
    <row r="497" ht="15.75" customHeight="1" s="51"/>
    <row r="498" ht="15.75" customHeight="1" s="51"/>
    <row r="499" ht="15.75" customHeight="1" s="51"/>
    <row r="500" ht="15.75" customHeight="1" s="51"/>
    <row r="501" ht="15.75" customHeight="1" s="51"/>
    <row r="502" ht="15.75" customHeight="1" s="51"/>
    <row r="503" ht="15.75" customHeight="1" s="51"/>
    <row r="504" ht="15.75" customHeight="1" s="51"/>
    <row r="505" ht="15.75" customHeight="1" s="51"/>
    <row r="506" ht="15.75" customHeight="1" s="51"/>
    <row r="507" ht="15.75" customHeight="1" s="51"/>
    <row r="508" ht="15.75" customHeight="1" s="51"/>
    <row r="509" ht="15.75" customHeight="1" s="51"/>
    <row r="510" ht="15.75" customHeight="1" s="51"/>
    <row r="511" ht="15.75" customHeight="1" s="51"/>
    <row r="512" ht="15.75" customHeight="1" s="51"/>
    <row r="513" ht="15.75" customHeight="1" s="51"/>
    <row r="514" ht="15.75" customHeight="1" s="51"/>
    <row r="515" ht="15.75" customHeight="1" s="51"/>
    <row r="516" ht="15.75" customHeight="1" s="51"/>
    <row r="517" ht="15.75" customHeight="1" s="51"/>
    <row r="518" ht="15.75" customHeight="1" s="51"/>
    <row r="519" ht="15.75" customHeight="1" s="51"/>
    <row r="520" ht="15.75" customHeight="1" s="51"/>
    <row r="521" ht="15.75" customHeight="1" s="51"/>
    <row r="522" ht="15.75" customHeight="1" s="51"/>
    <row r="523" ht="15.75" customHeight="1" s="51"/>
    <row r="524" ht="15.75" customHeight="1" s="51"/>
    <row r="525" ht="15.75" customHeight="1" s="51"/>
    <row r="526" ht="15.75" customHeight="1" s="51"/>
    <row r="527" ht="15.75" customHeight="1" s="51"/>
    <row r="528" ht="15.75" customHeight="1" s="51"/>
    <row r="529" ht="15.75" customHeight="1" s="51"/>
    <row r="530" ht="15.75" customHeight="1" s="51"/>
    <row r="531" ht="15.75" customHeight="1" s="51"/>
    <row r="532" ht="15.75" customHeight="1" s="51"/>
    <row r="533" ht="15.75" customHeight="1" s="51"/>
    <row r="534" ht="15.75" customHeight="1" s="51"/>
    <row r="535" ht="15.75" customHeight="1" s="51"/>
    <row r="536" ht="15.75" customHeight="1" s="51"/>
    <row r="537" ht="15.75" customHeight="1" s="51"/>
    <row r="538" ht="15.75" customHeight="1" s="51"/>
    <row r="539" ht="15.75" customHeight="1" s="51"/>
    <row r="540" ht="15.75" customHeight="1" s="51"/>
    <row r="541" ht="15.75" customHeight="1" s="51"/>
    <row r="542" ht="15.75" customHeight="1" s="51"/>
    <row r="543" ht="15.75" customHeight="1" s="51"/>
    <row r="544" ht="15.75" customHeight="1" s="51"/>
    <row r="545" ht="15.75" customHeight="1" s="51"/>
    <row r="546" ht="15.75" customHeight="1" s="51"/>
    <row r="547" ht="15.75" customHeight="1" s="51"/>
    <row r="548" ht="15.75" customHeight="1" s="51"/>
    <row r="549" ht="15.75" customHeight="1" s="51"/>
    <row r="550" ht="15.75" customHeight="1" s="51"/>
    <row r="551" ht="15.75" customHeight="1" s="51"/>
    <row r="552" ht="15.75" customHeight="1" s="51"/>
    <row r="553" ht="15.75" customHeight="1" s="51"/>
    <row r="554" ht="15.75" customHeight="1" s="51"/>
    <row r="555" ht="15.75" customHeight="1" s="51"/>
    <row r="556" ht="15.75" customHeight="1" s="51"/>
    <row r="557" ht="15.75" customHeight="1" s="51"/>
    <row r="558" ht="15.75" customHeight="1" s="51"/>
    <row r="559" ht="15.75" customHeight="1" s="51"/>
    <row r="560" ht="15.75" customHeight="1" s="51"/>
    <row r="561" ht="15.75" customHeight="1" s="51"/>
    <row r="562" ht="15.75" customHeight="1" s="51"/>
    <row r="563" ht="15.75" customHeight="1" s="51"/>
    <row r="564" ht="15.75" customHeight="1" s="51"/>
    <row r="565" ht="15.75" customHeight="1" s="51"/>
    <row r="566" ht="15.75" customHeight="1" s="51"/>
    <row r="567" ht="15.75" customHeight="1" s="51"/>
    <row r="568" ht="15.75" customHeight="1" s="51"/>
    <row r="569" ht="15.75" customHeight="1" s="51"/>
    <row r="570" ht="15.75" customHeight="1" s="51"/>
    <row r="571" ht="15.75" customHeight="1" s="51"/>
    <row r="572" ht="15.75" customHeight="1" s="51"/>
    <row r="573" ht="15.75" customHeight="1" s="51"/>
    <row r="574" ht="15.75" customHeight="1" s="51"/>
    <row r="575" ht="15.75" customHeight="1" s="51"/>
    <row r="576" ht="15.75" customHeight="1" s="51"/>
    <row r="577" ht="15.75" customHeight="1" s="51"/>
    <row r="578" ht="15.75" customHeight="1" s="51"/>
    <row r="579" ht="15.75" customHeight="1" s="51"/>
    <row r="580" ht="15.75" customHeight="1" s="51"/>
    <row r="581" ht="15.75" customHeight="1" s="51"/>
    <row r="582" ht="15.75" customHeight="1" s="51"/>
    <row r="583" ht="15.75" customHeight="1" s="51"/>
    <row r="584" ht="15.75" customHeight="1" s="51"/>
    <row r="585" ht="15.75" customHeight="1" s="51"/>
    <row r="586" ht="15.75" customHeight="1" s="51"/>
    <row r="587" ht="15.75" customHeight="1" s="51"/>
    <row r="588" ht="15.75" customHeight="1" s="51"/>
    <row r="589" ht="15.75" customHeight="1" s="51"/>
    <row r="590" ht="15.75" customHeight="1" s="51"/>
    <row r="591" ht="15.75" customHeight="1" s="51"/>
    <row r="592" ht="15.75" customHeight="1" s="51"/>
    <row r="593" ht="15.75" customHeight="1" s="51"/>
    <row r="594" ht="15.75" customHeight="1" s="51"/>
    <row r="595" ht="15.75" customHeight="1" s="51"/>
    <row r="596" ht="15.75" customHeight="1" s="51"/>
    <row r="597" ht="15.75" customHeight="1" s="51"/>
    <row r="598" ht="15.75" customHeight="1" s="51"/>
    <row r="599" ht="15.75" customHeight="1" s="51"/>
    <row r="600" ht="15.75" customHeight="1" s="51"/>
    <row r="601" ht="15.75" customHeight="1" s="51"/>
    <row r="602" ht="15.75" customHeight="1" s="51"/>
    <row r="603" ht="15.75" customHeight="1" s="51"/>
    <row r="604" ht="15.75" customHeight="1" s="51"/>
    <row r="605" ht="15.75" customHeight="1" s="51"/>
    <row r="606" ht="15.75" customHeight="1" s="51"/>
    <row r="607" ht="15.75" customHeight="1" s="51"/>
    <row r="608" ht="15.75" customHeight="1" s="51"/>
    <row r="609" ht="15.75" customHeight="1" s="51"/>
    <row r="610" ht="15.75" customHeight="1" s="51"/>
    <row r="611" ht="15.75" customHeight="1" s="51"/>
    <row r="612" ht="15.75" customHeight="1" s="51"/>
    <row r="613" ht="15.75" customHeight="1" s="51"/>
    <row r="614" ht="15.75" customHeight="1" s="51"/>
    <row r="615" ht="15.75" customHeight="1" s="51"/>
    <row r="616" ht="15.75" customHeight="1" s="51"/>
    <row r="617" ht="15.75" customHeight="1" s="51"/>
    <row r="618" ht="15.75" customHeight="1" s="51"/>
    <row r="619" ht="15.75" customHeight="1" s="51"/>
    <row r="620" ht="15.75" customHeight="1" s="51"/>
    <row r="621" ht="15.75" customHeight="1" s="51"/>
    <row r="622" ht="15.75" customHeight="1" s="51"/>
    <row r="623" ht="15.75" customHeight="1" s="51"/>
    <row r="624" ht="15.75" customHeight="1" s="51"/>
    <row r="625" ht="15.75" customHeight="1" s="51"/>
    <row r="626" ht="15.75" customHeight="1" s="51"/>
    <row r="627" ht="15.75" customHeight="1" s="51"/>
    <row r="628" ht="15.75" customHeight="1" s="51"/>
    <row r="629" ht="15.75" customHeight="1" s="51"/>
    <row r="630" ht="15.75" customHeight="1" s="51"/>
    <row r="631" ht="15.75" customHeight="1" s="51"/>
    <row r="632" ht="15.75" customHeight="1" s="51"/>
    <row r="633" ht="15.75" customHeight="1" s="51"/>
    <row r="634" ht="15.75" customHeight="1" s="51"/>
    <row r="635" ht="15.75" customHeight="1" s="51"/>
    <row r="636" ht="15.75" customHeight="1" s="51"/>
    <row r="637" ht="15.75" customHeight="1" s="51"/>
    <row r="638" ht="15.75" customHeight="1" s="51"/>
    <row r="639" ht="15.75" customHeight="1" s="51"/>
    <row r="640" ht="15.75" customHeight="1" s="51"/>
    <row r="641" ht="15.75" customHeight="1" s="51"/>
    <row r="642" ht="15.75" customHeight="1" s="51"/>
    <row r="643" ht="15.75" customHeight="1" s="51"/>
    <row r="644" ht="15.75" customHeight="1" s="51"/>
    <row r="645" ht="15.75" customHeight="1" s="51"/>
    <row r="646" ht="15.75" customHeight="1" s="51"/>
    <row r="647" ht="15.75" customHeight="1" s="51"/>
    <row r="648" ht="15.75" customHeight="1" s="51"/>
    <row r="649" ht="15.75" customHeight="1" s="51"/>
    <row r="650" ht="15.75" customHeight="1" s="51"/>
    <row r="651" ht="15.75" customHeight="1" s="51"/>
    <row r="652" ht="15.75" customHeight="1" s="51"/>
    <row r="653" ht="15.75" customHeight="1" s="51"/>
    <row r="654" ht="15.75" customHeight="1" s="51"/>
    <row r="655" ht="15.75" customHeight="1" s="51"/>
    <row r="656" ht="15.75" customHeight="1" s="51"/>
    <row r="657" ht="15.75" customHeight="1" s="51"/>
    <row r="658" ht="15.75" customHeight="1" s="51"/>
    <row r="659" ht="15.75" customHeight="1" s="51"/>
    <row r="660" ht="15.75" customHeight="1" s="51"/>
    <row r="661" ht="15.75" customHeight="1" s="51"/>
    <row r="662" ht="15.75" customHeight="1" s="51"/>
    <row r="663" ht="15.75" customHeight="1" s="51"/>
    <row r="664" ht="15.75" customHeight="1" s="51"/>
    <row r="665" ht="15.75" customHeight="1" s="51"/>
    <row r="666" ht="15.75" customHeight="1" s="51"/>
    <row r="667" ht="15.75" customHeight="1" s="51"/>
    <row r="668" ht="15.75" customHeight="1" s="51"/>
    <row r="669" ht="15.75" customHeight="1" s="51"/>
    <row r="670" ht="15.75" customHeight="1" s="51"/>
    <row r="671" ht="15.75" customHeight="1" s="51"/>
    <row r="672" ht="15.75" customHeight="1" s="51"/>
    <row r="673" ht="15.75" customHeight="1" s="51"/>
    <row r="674" ht="15.75" customHeight="1" s="51"/>
    <row r="675" ht="15.75" customHeight="1" s="51"/>
    <row r="676" ht="15.75" customHeight="1" s="51"/>
    <row r="677" ht="15.75" customHeight="1" s="51"/>
    <row r="678" ht="15.75" customHeight="1" s="51"/>
    <row r="679" ht="15.75" customHeight="1" s="51"/>
    <row r="680" ht="15.75" customHeight="1" s="51"/>
    <row r="681" ht="15.75" customHeight="1" s="51"/>
    <row r="682" ht="15.75" customHeight="1" s="51"/>
    <row r="683" ht="15.75" customHeight="1" s="51"/>
    <row r="684" ht="15.75" customHeight="1" s="51"/>
    <row r="685" ht="15.75" customHeight="1" s="51"/>
    <row r="686" ht="15.75" customHeight="1" s="51"/>
    <row r="687" ht="15.75" customHeight="1" s="51"/>
    <row r="688" ht="15.75" customHeight="1" s="51"/>
    <row r="689" ht="15.75" customHeight="1" s="51"/>
    <row r="690" ht="15.75" customHeight="1" s="51"/>
    <row r="691" ht="15.75" customHeight="1" s="51"/>
    <row r="692" ht="15.75" customHeight="1" s="51"/>
    <row r="693" ht="15.75" customHeight="1" s="51"/>
    <row r="694" ht="15.75" customHeight="1" s="51"/>
    <row r="695" ht="15.75" customHeight="1" s="51"/>
    <row r="696" ht="15.75" customHeight="1" s="51"/>
    <row r="697" ht="15.75" customHeight="1" s="51"/>
    <row r="698" ht="15.75" customHeight="1" s="51"/>
    <row r="699" ht="15.75" customHeight="1" s="51"/>
    <row r="700" ht="15.75" customHeight="1" s="51"/>
    <row r="701" ht="15.75" customHeight="1" s="51"/>
    <row r="702" ht="15.75" customHeight="1" s="51"/>
    <row r="703" ht="15.75" customHeight="1" s="51"/>
    <row r="704" ht="15.75" customHeight="1" s="51"/>
    <row r="705" ht="15.75" customHeight="1" s="51"/>
    <row r="706" ht="15.75" customHeight="1" s="51"/>
    <row r="707" ht="15.75" customHeight="1" s="51"/>
    <row r="708" ht="15.75" customHeight="1" s="51"/>
    <row r="709" ht="15.75" customHeight="1" s="51"/>
    <row r="710" ht="15.75" customHeight="1" s="51"/>
    <row r="711" ht="15.75" customHeight="1" s="51"/>
    <row r="712" ht="15.75" customHeight="1" s="51"/>
    <row r="713" ht="15.75" customHeight="1" s="51"/>
    <row r="714" ht="15.75" customHeight="1" s="51"/>
    <row r="715" ht="15.75" customHeight="1" s="51"/>
    <row r="716" ht="15.75" customHeight="1" s="51"/>
    <row r="717" ht="15.75" customHeight="1" s="51"/>
    <row r="718" ht="15.75" customHeight="1" s="51"/>
    <row r="719" ht="15.75" customHeight="1" s="51"/>
    <row r="720" ht="15.75" customHeight="1" s="51"/>
    <row r="721" ht="15.75" customHeight="1" s="51"/>
    <row r="722" ht="15.75" customHeight="1" s="51"/>
    <row r="723" ht="15.75" customHeight="1" s="51"/>
    <row r="724" ht="15.75" customHeight="1" s="51"/>
    <row r="725" ht="15.75" customHeight="1" s="51"/>
    <row r="726" ht="15.75" customHeight="1" s="51"/>
    <row r="727" ht="15.75" customHeight="1" s="51"/>
    <row r="728" ht="15.75" customHeight="1" s="51"/>
    <row r="729" ht="15.75" customHeight="1" s="51"/>
    <row r="730" ht="15.75" customHeight="1" s="51"/>
    <row r="731" ht="15.75" customHeight="1" s="51"/>
    <row r="732" ht="15.75" customHeight="1" s="51"/>
    <row r="733" ht="15.75" customHeight="1" s="51"/>
    <row r="734" ht="15.75" customHeight="1" s="51"/>
    <row r="735" ht="15.75" customHeight="1" s="51"/>
    <row r="736" ht="15.75" customHeight="1" s="51"/>
    <row r="737" ht="15.75" customHeight="1" s="51"/>
    <row r="738" ht="15.75" customHeight="1" s="51"/>
    <row r="739" ht="15.75" customHeight="1" s="51"/>
    <row r="740" ht="15.75" customHeight="1" s="51"/>
    <row r="741" ht="15.75" customHeight="1" s="51"/>
    <row r="742" ht="15.75" customHeight="1" s="51"/>
    <row r="743" ht="15.75" customHeight="1" s="51"/>
    <row r="744" ht="15.75" customHeight="1" s="51"/>
    <row r="745" ht="15.75" customHeight="1" s="51"/>
    <row r="746" ht="15.75" customHeight="1" s="51"/>
    <row r="747" ht="15.75" customHeight="1" s="51"/>
    <row r="748" ht="15.75" customHeight="1" s="51"/>
    <row r="749" ht="15.75" customHeight="1" s="51"/>
    <row r="750" ht="15.75" customHeight="1" s="51"/>
    <row r="751" ht="15.75" customHeight="1" s="51"/>
    <row r="752" ht="15.75" customHeight="1" s="51"/>
    <row r="753" ht="15.75" customHeight="1" s="51"/>
    <row r="754" ht="15.75" customHeight="1" s="51"/>
    <row r="755" ht="15.75" customHeight="1" s="51"/>
    <row r="756" ht="15.75" customHeight="1" s="51"/>
    <row r="757" ht="15.75" customHeight="1" s="51"/>
    <row r="758" ht="15.75" customHeight="1" s="51"/>
    <row r="759" ht="15.75" customHeight="1" s="51"/>
    <row r="760" ht="15.75" customHeight="1" s="51"/>
    <row r="761" ht="15.75" customHeight="1" s="51"/>
    <row r="762" ht="15.75" customHeight="1" s="51"/>
    <row r="763" ht="15.75" customHeight="1" s="51"/>
    <row r="764" ht="15.75" customHeight="1" s="51"/>
    <row r="765" ht="15.75" customHeight="1" s="51"/>
    <row r="766" ht="15.75" customHeight="1" s="51"/>
    <row r="767" ht="15.75" customHeight="1" s="51"/>
    <row r="768" ht="15.75" customHeight="1" s="51"/>
    <row r="769" ht="15.75" customHeight="1" s="51"/>
    <row r="770" ht="15.75" customHeight="1" s="51"/>
    <row r="771" ht="15.75" customHeight="1" s="51"/>
    <row r="772" ht="15.75" customHeight="1" s="51"/>
    <row r="773" ht="15.75" customHeight="1" s="51"/>
    <row r="774" ht="15.75" customHeight="1" s="51"/>
    <row r="775" ht="15.75" customHeight="1" s="51"/>
    <row r="776" ht="15.75" customHeight="1" s="51"/>
    <row r="777" ht="15.75" customHeight="1" s="51"/>
    <row r="778" ht="15.75" customHeight="1" s="51"/>
    <row r="779" ht="15.75" customHeight="1" s="51"/>
    <row r="780" ht="15.75" customHeight="1" s="51"/>
    <row r="781" ht="15.75" customHeight="1" s="51"/>
    <row r="782" ht="15.75" customHeight="1" s="51"/>
    <row r="783" ht="15.75" customHeight="1" s="51"/>
    <row r="784" ht="15.75" customHeight="1" s="51"/>
    <row r="785" ht="15.75" customHeight="1" s="51"/>
    <row r="786" ht="15.75" customHeight="1" s="51"/>
    <row r="787" ht="15.75" customHeight="1" s="51"/>
    <row r="788" ht="15.75" customHeight="1" s="51"/>
    <row r="789" ht="15.75" customHeight="1" s="51"/>
    <row r="790" ht="15.75" customHeight="1" s="51"/>
    <row r="791" ht="15.75" customHeight="1" s="51"/>
    <row r="792" ht="15.75" customHeight="1" s="51"/>
    <row r="793" ht="15.75" customHeight="1" s="51"/>
    <row r="794" ht="15.75" customHeight="1" s="51"/>
    <row r="795" ht="15.75" customHeight="1" s="51"/>
    <row r="796" ht="15.75" customHeight="1" s="51"/>
    <row r="797" ht="15.75" customHeight="1" s="51"/>
    <row r="798" ht="15.75" customHeight="1" s="51"/>
    <row r="799" ht="15.75" customHeight="1" s="51"/>
    <row r="800" ht="15.75" customHeight="1" s="51"/>
    <row r="801" ht="15.75" customHeight="1" s="51"/>
    <row r="802" ht="15.75" customHeight="1" s="51"/>
    <row r="803" ht="15.75" customHeight="1" s="51"/>
    <row r="804" ht="15.75" customHeight="1" s="51"/>
    <row r="805" ht="15.75" customHeight="1" s="51"/>
    <row r="806" ht="15.75" customHeight="1" s="51"/>
    <row r="807" ht="15.75" customHeight="1" s="51"/>
    <row r="808" ht="15.75" customHeight="1" s="51"/>
    <row r="809" ht="15.75" customHeight="1" s="51"/>
    <row r="810" ht="15.75" customHeight="1" s="51"/>
    <row r="811" ht="15.75" customHeight="1" s="51"/>
    <row r="812" ht="15.75" customHeight="1" s="51"/>
    <row r="813" ht="15.75" customHeight="1" s="51"/>
    <row r="814" ht="15.75" customHeight="1" s="51"/>
    <row r="815" ht="15.75" customHeight="1" s="51"/>
    <row r="816" ht="15.75" customHeight="1" s="51"/>
    <row r="817" ht="15.75" customHeight="1" s="51"/>
    <row r="818" ht="15.75" customHeight="1" s="51"/>
    <row r="819" ht="15.75" customHeight="1" s="51"/>
    <row r="820" ht="15.75" customHeight="1" s="51"/>
    <row r="821" ht="15.75" customHeight="1" s="51"/>
    <row r="822" ht="15.75" customHeight="1" s="51"/>
    <row r="823" ht="15.75" customHeight="1" s="51"/>
    <row r="824" ht="15.75" customHeight="1" s="51"/>
    <row r="825" ht="15.75" customHeight="1" s="51"/>
    <row r="826" ht="15.75" customHeight="1" s="51"/>
    <row r="827" ht="15.75" customHeight="1" s="51"/>
    <row r="828" ht="15.75" customHeight="1" s="51"/>
    <row r="829" ht="15.75" customHeight="1" s="51"/>
    <row r="830" ht="15.75" customHeight="1" s="51"/>
    <row r="831" ht="15.75" customHeight="1" s="51"/>
    <row r="832" ht="15.75" customHeight="1" s="51"/>
    <row r="833" ht="15.75" customHeight="1" s="51"/>
    <row r="834" ht="15.75" customHeight="1" s="51"/>
    <row r="835" ht="15.75" customHeight="1" s="51"/>
    <row r="836" ht="15.75" customHeight="1" s="51"/>
    <row r="837" ht="15.75" customHeight="1" s="51"/>
    <row r="838" ht="15.75" customHeight="1" s="51"/>
    <row r="839" ht="15.75" customHeight="1" s="51"/>
    <row r="840" ht="15.75" customHeight="1" s="51"/>
    <row r="841" ht="15.75" customHeight="1" s="51"/>
    <row r="842" ht="15.75" customHeight="1" s="51"/>
    <row r="843" ht="15.75" customHeight="1" s="51"/>
    <row r="844" ht="15.75" customHeight="1" s="51"/>
    <row r="845" ht="15.75" customHeight="1" s="51"/>
    <row r="846" ht="15.75" customHeight="1" s="51"/>
    <row r="847" ht="15.75" customHeight="1" s="51"/>
    <row r="848" ht="15.75" customHeight="1" s="51"/>
    <row r="849" ht="15.75" customHeight="1" s="51"/>
    <row r="850" ht="15.75" customHeight="1" s="51"/>
    <row r="851" ht="15.75" customHeight="1" s="51"/>
    <row r="852" ht="15.75" customHeight="1" s="51"/>
    <row r="853" ht="15.75" customHeight="1" s="51"/>
    <row r="854" ht="15.75" customHeight="1" s="51"/>
    <row r="855" ht="15.75" customHeight="1" s="51"/>
    <row r="856" ht="15.75" customHeight="1" s="51"/>
    <row r="857" ht="15.75" customHeight="1" s="51"/>
    <row r="858" ht="15.75" customHeight="1" s="51"/>
    <row r="859" ht="15.75" customHeight="1" s="51"/>
    <row r="860" ht="15.75" customHeight="1" s="51"/>
    <row r="861" ht="15.75" customHeight="1" s="51"/>
    <row r="862" ht="15.75" customHeight="1" s="51"/>
    <row r="863" ht="15.75" customHeight="1" s="51"/>
    <row r="864" ht="15.75" customHeight="1" s="51"/>
    <row r="865" ht="15.75" customHeight="1" s="51"/>
    <row r="866" ht="15.75" customHeight="1" s="51"/>
    <row r="867" ht="15.75" customHeight="1" s="51"/>
    <row r="868" ht="15.75" customHeight="1" s="51"/>
    <row r="869" ht="15.75" customHeight="1" s="51"/>
    <row r="870" ht="15.75" customHeight="1" s="51"/>
    <row r="871" ht="15.75" customHeight="1" s="51"/>
    <row r="872" ht="15.75" customHeight="1" s="51"/>
    <row r="873" ht="15.75" customHeight="1" s="51"/>
    <row r="874" ht="15.75" customHeight="1" s="51"/>
    <row r="875" ht="15.75" customHeight="1" s="51"/>
    <row r="876" ht="15.75" customHeight="1" s="51"/>
    <row r="877" ht="15.75" customHeight="1" s="51"/>
    <row r="878" ht="15.75" customHeight="1" s="51"/>
    <row r="879" ht="15.75" customHeight="1" s="51"/>
    <row r="880" ht="15.75" customHeight="1" s="51"/>
    <row r="881" ht="15.75" customHeight="1" s="51"/>
    <row r="882" ht="15.75" customHeight="1" s="51"/>
    <row r="883" ht="15.75" customHeight="1" s="51"/>
    <row r="884" ht="15.75" customHeight="1" s="51"/>
    <row r="885" ht="15.75" customHeight="1" s="51"/>
    <row r="886" ht="15.75" customHeight="1" s="51"/>
    <row r="887" ht="15.75" customHeight="1" s="51"/>
    <row r="888" ht="15.75" customHeight="1" s="51"/>
    <row r="889" ht="15.75" customHeight="1" s="51"/>
    <row r="890" ht="15.75" customHeight="1" s="51"/>
    <row r="891" ht="15.75" customHeight="1" s="51"/>
    <row r="892" ht="15.75" customHeight="1" s="51"/>
    <row r="893" ht="15.75" customHeight="1" s="51"/>
    <row r="894" ht="15.75" customHeight="1" s="51"/>
    <row r="895" ht="15.75" customHeight="1" s="51"/>
    <row r="896" ht="15.75" customHeight="1" s="51"/>
    <row r="897" ht="15.75" customHeight="1" s="51"/>
    <row r="898" ht="15.75" customHeight="1" s="51"/>
    <row r="899" ht="15.75" customHeight="1" s="51"/>
    <row r="900" ht="15.75" customHeight="1" s="51"/>
    <row r="901" ht="15.75" customHeight="1" s="51"/>
    <row r="902" ht="15.75" customHeight="1" s="51"/>
    <row r="903" ht="15.75" customHeight="1" s="51"/>
    <row r="904" ht="15.75" customHeight="1" s="51"/>
    <row r="905" ht="15.75" customHeight="1" s="51"/>
    <row r="906" ht="15.75" customHeight="1" s="51"/>
    <row r="907" ht="15.75" customHeight="1" s="51"/>
    <row r="908" ht="15.75" customHeight="1" s="51"/>
    <row r="909" ht="15.75" customHeight="1" s="51"/>
    <row r="910" ht="15.75" customHeight="1" s="51"/>
    <row r="911" ht="15.75" customHeight="1" s="51"/>
    <row r="912" ht="15.75" customHeight="1" s="51"/>
    <row r="913" ht="15.75" customHeight="1" s="51"/>
    <row r="914" ht="15.75" customHeight="1" s="51"/>
    <row r="915" ht="15.75" customHeight="1" s="51"/>
    <row r="916" ht="15.75" customHeight="1" s="51"/>
    <row r="917" ht="15.75" customHeight="1" s="51"/>
    <row r="918" ht="15.75" customHeight="1" s="51"/>
    <row r="919" ht="15.75" customHeight="1" s="51"/>
    <row r="920" ht="15.75" customHeight="1" s="51"/>
    <row r="921" ht="15.75" customHeight="1" s="51"/>
    <row r="922" ht="15.75" customHeight="1" s="51"/>
    <row r="923" ht="15.75" customHeight="1" s="51"/>
    <row r="924" ht="15.75" customHeight="1" s="51"/>
    <row r="925" ht="15.75" customHeight="1" s="51"/>
    <row r="926" ht="15.75" customHeight="1" s="51"/>
    <row r="927" ht="15.75" customHeight="1" s="51"/>
    <row r="928" ht="15.75" customHeight="1" s="51"/>
    <row r="929" ht="15.75" customHeight="1" s="51"/>
    <row r="930" ht="15.75" customHeight="1" s="51"/>
    <row r="931" ht="15.75" customHeight="1" s="51"/>
    <row r="932" ht="15.75" customHeight="1" s="51"/>
    <row r="933" ht="15.75" customHeight="1" s="51"/>
    <row r="934" ht="15.75" customHeight="1" s="51"/>
    <row r="935" ht="15.75" customHeight="1" s="51"/>
    <row r="936" ht="15.75" customHeight="1" s="51"/>
    <row r="937" ht="15.75" customHeight="1" s="51"/>
    <row r="938" ht="15.75" customHeight="1" s="51"/>
    <row r="939" ht="15.75" customHeight="1" s="51"/>
    <row r="940" ht="15.75" customHeight="1" s="51"/>
    <row r="941" ht="15.75" customHeight="1" s="51"/>
    <row r="942" ht="15.75" customHeight="1" s="51"/>
    <row r="943" ht="15.75" customHeight="1" s="51"/>
    <row r="944" ht="15.75" customHeight="1" s="51"/>
    <row r="945" ht="15.75" customHeight="1" s="51"/>
    <row r="946" ht="15.75" customHeight="1" s="51"/>
    <row r="947" ht="15.75" customHeight="1" s="51"/>
    <row r="948" ht="15.75" customHeight="1" s="51"/>
    <row r="949" ht="15.75" customHeight="1" s="51"/>
    <row r="950" ht="15.75" customHeight="1" s="51"/>
    <row r="951" ht="15.75" customHeight="1" s="51"/>
    <row r="952" ht="15.75" customHeight="1" s="51"/>
    <row r="953" ht="15.75" customHeight="1" s="51"/>
    <row r="954" ht="15.75" customHeight="1" s="51"/>
    <row r="955" ht="15.75" customHeight="1" s="51"/>
    <row r="956" ht="15.75" customHeight="1" s="51"/>
    <row r="957" ht="15.75" customHeight="1" s="51"/>
    <row r="958" ht="15.75" customHeight="1" s="51"/>
    <row r="959" ht="15.75" customHeight="1" s="51"/>
    <row r="960" ht="15.75" customHeight="1" s="51"/>
    <row r="961" ht="15.75" customHeight="1" s="51"/>
    <row r="962" ht="15.75" customHeight="1" s="51"/>
    <row r="963" ht="15.75" customHeight="1" s="51"/>
    <row r="964" ht="15.75" customHeight="1" s="51"/>
    <row r="965" ht="15.75" customHeight="1" s="51"/>
    <row r="966" ht="15.75" customHeight="1" s="51"/>
    <row r="967" ht="15.75" customHeight="1" s="51"/>
    <row r="968" ht="15.75" customHeight="1" s="51"/>
    <row r="969" ht="15.75" customHeight="1" s="51"/>
    <row r="970" ht="15.75" customHeight="1" s="51"/>
    <row r="971" ht="15.75" customHeight="1" s="51"/>
    <row r="972" ht="15.75" customHeight="1" s="51"/>
    <row r="973" ht="15.75" customHeight="1" s="51"/>
    <row r="974" ht="15.75" customHeight="1" s="51"/>
    <row r="975" ht="15.75" customHeight="1" s="51"/>
    <row r="976" ht="15.75" customHeight="1" s="51"/>
    <row r="977" ht="15.75" customHeight="1" s="51"/>
    <row r="978" ht="15.75" customHeight="1" s="51"/>
    <row r="979" ht="15.75" customHeight="1" s="51"/>
    <row r="980" ht="15.75" customHeight="1" s="51"/>
    <row r="981" ht="15.75" customHeight="1" s="51"/>
    <row r="982" ht="15.75" customHeight="1" s="51"/>
    <row r="983" ht="15.75" customHeight="1" s="51"/>
    <row r="984" ht="15.75" customHeight="1" s="51"/>
    <row r="985" ht="15.75" customHeight="1" s="51"/>
    <row r="986" ht="15.75" customHeight="1" s="51"/>
    <row r="987" ht="15.75" customHeight="1" s="51"/>
    <row r="988" ht="15.75" customHeight="1" s="51"/>
    <row r="989" ht="15.75" customHeight="1" s="51"/>
    <row r="990" ht="15.75" customHeight="1" s="51"/>
    <row r="991" ht="15.75" customHeight="1" s="51"/>
    <row r="992" ht="15.75" customHeight="1" s="51"/>
    <row r="993" ht="15.75" customHeight="1" s="51"/>
    <row r="994" ht="15.75" customHeight="1" s="51"/>
    <row r="995" ht="15.75" customHeight="1" s="51"/>
    <row r="996" ht="15.75" customHeight="1" s="51"/>
    <row r="997" ht="15.75" customHeight="1" s="51"/>
    <row r="998" ht="15.75" customHeight="1" s="51"/>
    <row r="999" ht="15.75" customHeight="1" s="51"/>
    <row r="1000" ht="15.75" customHeight="1" s="51"/>
  </sheetData>
  <mergeCells count="2">
    <mergeCell ref="A1:J1"/>
    <mergeCell ref="A2:S2"/>
  </mergeCells>
  <dataValidations count="4">
    <dataValidation sqref="D5:D24" showDropDown="0" showInputMessage="0" showErrorMessage="0" allowBlank="1" type="list">
      <formula1>'選択肢リスト'!$A$3:$A$201</formula1>
    </dataValidation>
    <dataValidation sqref="H5:H24" showDropDown="0" showInputMessage="0" showErrorMessage="0" allowBlank="1" type="list">
      <formula1>'選択肢リスト'!$D$3:$D$201</formula1>
    </dataValidation>
    <dataValidation sqref="G5:G24" showDropDown="0" showInputMessage="0" showErrorMessage="0" allowBlank="1" type="list">
      <formula1>'選択肢リスト'!$C$3:$C$201</formula1>
    </dataValidation>
    <dataValidation sqref="E5:E24" showDropDown="0" showInputMessage="0" showErrorMessage="0" allowBlank="1" type="list">
      <formula1>'選択肢リスト'!$B$3:$B$201</formula1>
    </dataValidation>
  </dataValidation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B4" sqref="B4"/>
    </sheetView>
  </sheetViews>
  <sheetFormatPr baseColWidth="8" defaultColWidth="14.43" defaultRowHeight="15" customHeight="1"/>
  <cols>
    <col width="30" customWidth="1" style="51" min="1" max="4"/>
    <col width="8.710000000000001" customWidth="1" style="51" min="5" max="26"/>
  </cols>
  <sheetData>
    <row r="1">
      <c r="A1" s="1" t="inlineStr">
        <is>
          <t>各列に項目を追記すると、3つのアカウントシートのドロップダウンにそのまま反映されます（201行目まで対応）。</t>
        </is>
      </c>
    </row>
    <row r="2">
      <c r="A2" s="3" t="inlineStr">
        <is>
          <t>形式</t>
        </is>
      </c>
      <c r="B2" s="3" t="inlineStr">
        <is>
          <t>ジャンル</t>
        </is>
      </c>
      <c r="C2" s="3" t="inlineStr">
        <is>
          <t>ストーリーテリング手法</t>
        </is>
      </c>
      <c r="D2" s="3" t="inlineStr">
        <is>
          <t>投稿の目的</t>
        </is>
      </c>
    </row>
    <row r="3">
      <c r="A3" s="10" t="inlineStr">
        <is>
          <t>リール（動画）</t>
        </is>
      </c>
      <c r="B3" s="10" t="inlineStr">
        <is>
          <t>保健・医療</t>
        </is>
      </c>
      <c r="C3" s="10" t="inlineStr">
        <is>
          <t>個人の物語（1人称の語り）</t>
        </is>
      </c>
      <c r="D3" s="10" t="inlineStr">
        <is>
          <t>認知拡大（知ってもらう）</t>
        </is>
      </c>
    </row>
    <row r="4">
      <c r="A4" s="10" t="inlineStr">
        <is>
          <t>カルーセル（複数枚）</t>
        </is>
      </c>
      <c r="B4" s="10" t="inlineStr">
        <is>
          <t>農業・農村開発</t>
        </is>
      </c>
      <c r="C4" s="10" t="inlineStr">
        <is>
          <t>第三者による人物紹介</t>
        </is>
      </c>
      <c r="D4" s="10" t="inlineStr">
        <is>
          <t>共感・親近感の醸成</t>
        </is>
      </c>
    </row>
    <row r="5">
      <c r="A5" s="10" t="inlineStr">
        <is>
          <t>一枚絵（静止画1枚）</t>
        </is>
      </c>
      <c r="B5" s="10" t="inlineStr">
        <is>
          <t>教育</t>
        </is>
      </c>
      <c r="C5" s="8" t="inlineStr">
        <is>
          <t>ドキュメンタリー形式</t>
        </is>
      </c>
      <c r="D5" s="10" t="inlineStr">
        <is>
          <t>事業内容の理解促進</t>
        </is>
      </c>
    </row>
    <row r="6">
      <c r="A6" s="10" t="inlineStr">
        <is>
          <t>写真1枚（実写）</t>
        </is>
      </c>
      <c r="B6" s="10" t="inlineStr">
        <is>
          <t>水・衛生</t>
        </is>
      </c>
      <c r="C6" s="9" t="inlineStr">
        <is>
          <t>Before→After（変化を見せる）</t>
        </is>
      </c>
      <c r="D6" s="10" t="inlineStr">
        <is>
          <t>教育・啓発</t>
        </is>
      </c>
    </row>
    <row r="7">
      <c r="A7" s="10" t="inlineStr">
        <is>
          <t>図解・インフォグラフィック1枚</t>
        </is>
      </c>
      <c r="B7" s="10" t="inlineStr">
        <is>
          <t>インフラ・都市開発</t>
        </is>
      </c>
      <c r="C7" s="10" t="inlineStr">
        <is>
          <t>課題提示→解決の流れ</t>
        </is>
      </c>
      <c r="D7" s="10" t="inlineStr">
        <is>
          <t>応募・参加の促進</t>
        </is>
      </c>
    </row>
    <row r="8">
      <c r="A8" s="10" t="inlineStr">
        <is>
          <t>フィード動画（非リール）</t>
        </is>
      </c>
      <c r="B8" s="10" t="inlineStr">
        <is>
          <t>運輸・交通</t>
        </is>
      </c>
      <c r="C8" s="10" t="inlineStr">
        <is>
          <t>データ・数字で驚かせる</t>
        </is>
      </c>
      <c r="D8" s="10" t="inlineStr">
        <is>
          <t>採用・人材確保</t>
        </is>
      </c>
    </row>
    <row r="9">
      <c r="A9" s="10" t="inlineStr">
        <is>
          <t>テキスト主体の画像</t>
        </is>
      </c>
      <c r="B9" s="10" t="inlineStr">
        <is>
          <t>環境・気候変動</t>
        </is>
      </c>
      <c r="C9" s="10" t="inlineStr">
        <is>
          <t>ドラマ形式</t>
        </is>
      </c>
      <c r="D9" s="10" t="inlineStr">
        <is>
          <t>実績・成果の報告（説明責任）</t>
        </is>
      </c>
    </row>
    <row r="10">
      <c r="A10" s="10" t="inlineStr">
        <is>
          <t>ストーリーズ再掲・ハイライト</t>
        </is>
      </c>
      <c r="B10" s="10" t="inlineStr">
        <is>
          <t>防災</t>
        </is>
      </c>
      <c r="C10" s="10" t="inlineStr">
        <is>
          <t>あるある・ネタ／ユーモア</t>
        </is>
      </c>
      <c r="D10" s="10" t="inlineStr">
        <is>
          <t>コミュニティ形成（ファンとの交流）</t>
        </is>
      </c>
    </row>
    <row r="11">
      <c r="A11" s="10" t="inlineStr">
        <is>
          <t>ライブ配信アーカイブ</t>
        </is>
      </c>
      <c r="B11" s="10" t="inlineStr">
        <is>
          <t>ジェンダー・社会的包摂</t>
        </is>
      </c>
      <c r="C11" s="10" t="inlineStr">
        <is>
          <t>ハウツー・解説（教える）</t>
        </is>
      </c>
      <c r="D11" s="10" t="inlineStr">
        <is>
          <t>寄付・支援の呼びかけ</t>
        </is>
      </c>
    </row>
    <row r="12">
      <c r="A12" s="10" t="inlineStr">
        <is>
          <t>コラボ投稿</t>
        </is>
      </c>
      <c r="B12" s="10" t="inlineStr">
        <is>
          <t>民間連携・ビジネス</t>
        </is>
      </c>
      <c r="C12" s="10" t="inlineStr">
        <is>
          <t>リスト形式（〇選・ランキング）</t>
        </is>
      </c>
      <c r="D12" s="10" t="inlineStr">
        <is>
          <t>時事・話題への発信</t>
        </is>
      </c>
    </row>
    <row r="13">
      <c r="A13" s="10" t="inlineStr">
        <is>
          <t>その他</t>
        </is>
      </c>
      <c r="B13" s="10" t="inlineStr">
        <is>
          <t>ボランティア／派遣隊員</t>
        </is>
      </c>
      <c r="C13" s="10" t="inlineStr">
        <is>
          <t>インタビュー・Q&amp;A</t>
        </is>
      </c>
      <c r="D13" s="10" t="inlineStr">
        <is>
          <t>その他</t>
        </is>
      </c>
    </row>
    <row r="14">
      <c r="B14" s="10" t="inlineStr">
        <is>
          <t>職員・スタッフ紹介</t>
        </is>
      </c>
      <c r="C14" s="10" t="inlineStr">
        <is>
          <t>舞台裏（Behind the scenes）</t>
        </is>
      </c>
    </row>
    <row r="15">
      <c r="B15" s="10" t="inlineStr">
        <is>
          <t>現地の文化・暮らし</t>
        </is>
      </c>
      <c r="C15" s="10" t="inlineStr">
        <is>
          <t>現地の日常vlog</t>
        </is>
      </c>
    </row>
    <row r="16">
      <c r="B16" s="10" t="inlineStr">
        <is>
          <t>研修・留学生</t>
        </is>
      </c>
      <c r="C16" s="10" t="inlineStr">
        <is>
          <t>受益者・現地の人の声</t>
        </is>
      </c>
    </row>
    <row r="17">
      <c r="B17" s="10" t="inlineStr">
        <is>
          <t>緊急人道支援</t>
        </is>
      </c>
      <c r="C17" s="10" t="inlineStr">
        <is>
          <t>トレンド音源・ミーム便乗</t>
        </is>
      </c>
    </row>
    <row r="18">
      <c r="B18" s="10" t="inlineStr">
        <is>
          <t>募集・採用情報</t>
        </is>
      </c>
      <c r="C18" s="10" t="inlineStr">
        <is>
          <t>呼びかけ・CTA中心</t>
        </is>
      </c>
    </row>
    <row r="19">
      <c r="B19" s="10" t="inlineStr">
        <is>
          <t>イベント・キャンペーン告知</t>
        </is>
      </c>
      <c r="C19" s="10" t="inlineStr">
        <is>
          <t>告知・お知らせのみ</t>
        </is>
      </c>
    </row>
    <row r="20">
      <c r="B20" s="10" t="inlineStr">
        <is>
          <t>実績・数字の報告</t>
        </is>
      </c>
      <c r="C20" s="10" t="inlineStr">
        <is>
          <t>その他</t>
        </is>
      </c>
    </row>
    <row r="21" ht="15.75" customHeight="1" s="51">
      <c r="B21" s="10" t="inlineStr">
        <is>
          <t>政策・トップメッセージ</t>
        </is>
      </c>
    </row>
    <row r="22" ht="15.75" customHeight="1" s="51">
      <c r="B22" s="10" t="inlineStr">
        <is>
          <t>その他</t>
        </is>
      </c>
    </row>
    <row r="23" ht="15.75" customHeight="1" s="51"/>
    <row r="24" ht="15.75" customHeight="1" s="51"/>
    <row r="25" ht="15.75" customHeight="1" s="51"/>
    <row r="26" ht="15.75" customHeight="1" s="51"/>
    <row r="27" ht="15.75" customHeight="1" s="51"/>
    <row r="28" ht="15.75" customHeight="1" s="51"/>
    <row r="29" ht="15.75" customHeight="1" s="51"/>
    <row r="30" ht="15.75" customHeight="1" s="51"/>
    <row r="31" ht="15.75" customHeight="1" s="51"/>
    <row r="32" ht="15.75" customHeight="1" s="51"/>
    <row r="33" ht="15.75" customHeight="1" s="51"/>
    <row r="34" ht="15.75" customHeight="1" s="51"/>
    <row r="35" ht="15.75" customHeight="1" s="51"/>
    <row r="36" ht="15.75" customHeight="1" s="51"/>
    <row r="37" ht="15.75" customHeight="1" s="51"/>
    <row r="38" ht="15.75" customHeight="1" s="51"/>
    <row r="39" ht="15.75" customHeight="1" s="51"/>
    <row r="40" ht="15.75" customHeight="1" s="51"/>
    <row r="41" ht="15.75" customHeight="1" s="51"/>
    <row r="42" ht="15.75" customHeight="1" s="51"/>
    <row r="43" ht="15.75" customHeight="1" s="51"/>
    <row r="44" ht="15.75" customHeight="1" s="51"/>
    <row r="45" ht="15.75" customHeight="1" s="51"/>
    <row r="46" ht="15.75" customHeight="1" s="51"/>
    <row r="47" ht="15.75" customHeight="1" s="51"/>
    <row r="48" ht="15.75" customHeight="1" s="51"/>
    <row r="49" ht="15.75" customHeight="1" s="51"/>
    <row r="50" ht="15.75" customHeight="1" s="51"/>
    <row r="51" ht="15.75" customHeight="1" s="51"/>
    <row r="52" ht="15.75" customHeight="1" s="51"/>
    <row r="53" ht="15.75" customHeight="1" s="51"/>
    <row r="54" ht="15.75" customHeight="1" s="51"/>
    <row r="55" ht="15.75" customHeight="1" s="51"/>
    <row r="56" ht="15.75" customHeight="1" s="51"/>
    <row r="57" ht="15.75" customHeight="1" s="51"/>
    <row r="58" ht="15.75" customHeight="1" s="51"/>
    <row r="59" ht="15.75" customHeight="1" s="51"/>
    <row r="60" ht="15.75" customHeight="1" s="51"/>
    <row r="61" ht="15.75" customHeight="1" s="51"/>
    <row r="62" ht="15.75" customHeight="1" s="51"/>
    <row r="63" ht="15.75" customHeight="1" s="51"/>
    <row r="64" ht="15.75" customHeight="1" s="51"/>
    <row r="65" ht="15.75" customHeight="1" s="51"/>
    <row r="66" ht="15.75" customHeight="1" s="51"/>
    <row r="67" ht="15.75" customHeight="1" s="51"/>
    <row r="68" ht="15.75" customHeight="1" s="51"/>
    <row r="69" ht="15.75" customHeight="1" s="51"/>
    <row r="70" ht="15.75" customHeight="1" s="51"/>
    <row r="71" ht="15.75" customHeight="1" s="51"/>
    <row r="72" ht="15.75" customHeight="1" s="51"/>
    <row r="73" ht="15.75" customHeight="1" s="51"/>
    <row r="74" ht="15.75" customHeight="1" s="51"/>
    <row r="75" ht="15.75" customHeight="1" s="51"/>
    <row r="76" ht="15.75" customHeight="1" s="51"/>
    <row r="77" ht="15.75" customHeight="1" s="51"/>
    <row r="78" ht="15.75" customHeight="1" s="51"/>
    <row r="79" ht="15.75" customHeight="1" s="51"/>
    <row r="80" ht="15.75" customHeight="1" s="51"/>
    <row r="81" ht="15.75" customHeight="1" s="51"/>
    <row r="82" ht="15.75" customHeight="1" s="51"/>
    <row r="83" ht="15.75" customHeight="1" s="51"/>
    <row r="84" ht="15.75" customHeight="1" s="51"/>
    <row r="85" ht="15.75" customHeight="1" s="51"/>
    <row r="86" ht="15.75" customHeight="1" s="51"/>
    <row r="87" ht="15.75" customHeight="1" s="51"/>
    <row r="88" ht="15.75" customHeight="1" s="51"/>
    <row r="89" ht="15.75" customHeight="1" s="51"/>
    <row r="90" ht="15.75" customHeight="1" s="51"/>
    <row r="91" ht="15.75" customHeight="1" s="51"/>
    <row r="92" ht="15.75" customHeight="1" s="51"/>
    <row r="93" ht="15.75" customHeight="1" s="51"/>
    <row r="94" ht="15.75" customHeight="1" s="51"/>
    <row r="95" ht="15.75" customHeight="1" s="51"/>
    <row r="96" ht="15.75" customHeight="1" s="51"/>
    <row r="97" ht="15.75" customHeight="1" s="51"/>
    <row r="98" ht="15.75" customHeight="1" s="51"/>
    <row r="99" ht="15.75" customHeight="1" s="51"/>
    <row r="100" ht="15.75" customHeight="1" s="51"/>
    <row r="101" ht="15.75" customHeight="1" s="51"/>
    <row r="102" ht="15.75" customHeight="1" s="51"/>
    <row r="103" ht="15.75" customHeight="1" s="51"/>
    <row r="104" ht="15.75" customHeight="1" s="51"/>
    <row r="105" ht="15.75" customHeight="1" s="51"/>
    <row r="106" ht="15.75" customHeight="1" s="51"/>
    <row r="107" ht="15.75" customHeight="1" s="51"/>
    <row r="108" ht="15.75" customHeight="1" s="51"/>
    <row r="109" ht="15.75" customHeight="1" s="51"/>
    <row r="110" ht="15.75" customHeight="1" s="51"/>
    <row r="111" ht="15.75" customHeight="1" s="51"/>
    <row r="112" ht="15.75" customHeight="1" s="51"/>
    <row r="113" ht="15.75" customHeight="1" s="51"/>
    <row r="114" ht="15.75" customHeight="1" s="51"/>
    <row r="115" ht="15.75" customHeight="1" s="51"/>
    <row r="116" ht="15.75" customHeight="1" s="51"/>
    <row r="117" ht="15.75" customHeight="1" s="51"/>
    <row r="118" ht="15.75" customHeight="1" s="51"/>
    <row r="119" ht="15.75" customHeight="1" s="51"/>
    <row r="120" ht="15.75" customHeight="1" s="51"/>
    <row r="121" ht="15.75" customHeight="1" s="51"/>
    <row r="122" ht="15.75" customHeight="1" s="51"/>
    <row r="123" ht="15.75" customHeight="1" s="51"/>
    <row r="124" ht="15.75" customHeight="1" s="51"/>
    <row r="125" ht="15.75" customHeight="1" s="51"/>
    <row r="126" ht="15.75" customHeight="1" s="51"/>
    <row r="127" ht="15.75" customHeight="1" s="51"/>
    <row r="128" ht="15.75" customHeight="1" s="51"/>
    <row r="129" ht="15.75" customHeight="1" s="51"/>
    <row r="130" ht="15.75" customHeight="1" s="51"/>
    <row r="131" ht="15.75" customHeight="1" s="51"/>
    <row r="132" ht="15.75" customHeight="1" s="51"/>
    <row r="133" ht="15.75" customHeight="1" s="51"/>
    <row r="134" ht="15.75" customHeight="1" s="51"/>
    <row r="135" ht="15.75" customHeight="1" s="51"/>
    <row r="136" ht="15.75" customHeight="1" s="51"/>
    <row r="137" ht="15.75" customHeight="1" s="51"/>
    <row r="138" ht="15.75" customHeight="1" s="51"/>
    <row r="139" ht="15.75" customHeight="1" s="51"/>
    <row r="140" ht="15.75" customHeight="1" s="51"/>
    <row r="141" ht="15.75" customHeight="1" s="51"/>
    <row r="142" ht="15.75" customHeight="1" s="51"/>
    <row r="143" ht="15.75" customHeight="1" s="51"/>
    <row r="144" ht="15.75" customHeight="1" s="51"/>
    <row r="145" ht="15.75" customHeight="1" s="51"/>
    <row r="146" ht="15.75" customHeight="1" s="51"/>
    <row r="147" ht="15.75" customHeight="1" s="51"/>
    <row r="148" ht="15.75" customHeight="1" s="51"/>
    <row r="149" ht="15.75" customHeight="1" s="51"/>
    <row r="150" ht="15.75" customHeight="1" s="51"/>
    <row r="151" ht="15.75" customHeight="1" s="51"/>
    <row r="152" ht="15.75" customHeight="1" s="51"/>
    <row r="153" ht="15.75" customHeight="1" s="51"/>
    <row r="154" ht="15.75" customHeight="1" s="51"/>
    <row r="155" ht="15.75" customHeight="1" s="51"/>
    <row r="156" ht="15.75" customHeight="1" s="51"/>
    <row r="157" ht="15.75" customHeight="1" s="51"/>
    <row r="158" ht="15.75" customHeight="1" s="51"/>
    <row r="159" ht="15.75" customHeight="1" s="51"/>
    <row r="160" ht="15.75" customHeight="1" s="51"/>
    <row r="161" ht="15.75" customHeight="1" s="51"/>
    <row r="162" ht="15.75" customHeight="1" s="51"/>
    <row r="163" ht="15.75" customHeight="1" s="51"/>
    <row r="164" ht="15.75" customHeight="1" s="51"/>
    <row r="165" ht="15.75" customHeight="1" s="51"/>
    <row r="166" ht="15.75" customHeight="1" s="51"/>
    <row r="167" ht="15.75" customHeight="1" s="51"/>
    <row r="168" ht="15.75" customHeight="1" s="51"/>
    <row r="169" ht="15.75" customHeight="1" s="51"/>
    <row r="170" ht="15.75" customHeight="1" s="51"/>
    <row r="171" ht="15.75" customHeight="1" s="51"/>
    <row r="172" ht="15.75" customHeight="1" s="51"/>
    <row r="173" ht="15.75" customHeight="1" s="51"/>
    <row r="174" ht="15.75" customHeight="1" s="51"/>
    <row r="175" ht="15.75" customHeight="1" s="51"/>
    <row r="176" ht="15.75" customHeight="1" s="51"/>
    <row r="177" ht="15.75" customHeight="1" s="51"/>
    <row r="178" ht="15.75" customHeight="1" s="51"/>
    <row r="179" ht="15.75" customHeight="1" s="51"/>
    <row r="180" ht="15.75" customHeight="1" s="51"/>
    <row r="181" ht="15.75" customHeight="1" s="51"/>
    <row r="182" ht="15.75" customHeight="1" s="51"/>
    <row r="183" ht="15.75" customHeight="1" s="51"/>
    <row r="184" ht="15.75" customHeight="1" s="51"/>
    <row r="185" ht="15.75" customHeight="1" s="51"/>
    <row r="186" ht="15.75" customHeight="1" s="51"/>
    <row r="187" ht="15.75" customHeight="1" s="51"/>
    <row r="188" ht="15.75" customHeight="1" s="51"/>
    <row r="189" ht="15.75" customHeight="1" s="51"/>
    <row r="190" ht="15.75" customHeight="1" s="51"/>
    <row r="191" ht="15.75" customHeight="1" s="51"/>
    <row r="192" ht="15.75" customHeight="1" s="51"/>
    <row r="193" ht="15.75" customHeight="1" s="51"/>
    <row r="194" ht="15.75" customHeight="1" s="51"/>
    <row r="195" ht="15.75" customHeight="1" s="51"/>
    <row r="196" ht="15.75" customHeight="1" s="51"/>
    <row r="197" ht="15.75" customHeight="1" s="51"/>
    <row r="198" ht="15.75" customHeight="1" s="51"/>
    <row r="199" ht="15.75" customHeight="1" s="51"/>
    <row r="200" ht="15.75" customHeight="1" s="51"/>
    <row r="201" ht="15.75" customHeight="1" s="51"/>
    <row r="202" ht="15.75" customHeight="1" s="51"/>
    <row r="203" ht="15.75" customHeight="1" s="51"/>
    <row r="204" ht="15.75" customHeight="1" s="51"/>
    <row r="205" ht="15.75" customHeight="1" s="51"/>
    <row r="206" ht="15.75" customHeight="1" s="51"/>
    <row r="207" ht="15.75" customHeight="1" s="51"/>
    <row r="208" ht="15.75" customHeight="1" s="51"/>
    <row r="209" ht="15.75" customHeight="1" s="51"/>
    <row r="210" ht="15.75" customHeight="1" s="51"/>
    <row r="211" ht="15.75" customHeight="1" s="51"/>
    <row r="212" ht="15.75" customHeight="1" s="51"/>
    <row r="213" ht="15.75" customHeight="1" s="51"/>
    <row r="214" ht="15.75" customHeight="1" s="51"/>
    <row r="215" ht="15.75" customHeight="1" s="51"/>
    <row r="216" ht="15.75" customHeight="1" s="51"/>
    <row r="217" ht="15.75" customHeight="1" s="51"/>
    <row r="218" ht="15.75" customHeight="1" s="51"/>
    <row r="219" ht="15.75" customHeight="1" s="51"/>
    <row r="220" ht="15.75" customHeight="1" s="51"/>
    <row r="221" ht="15.75" customHeight="1" s="51"/>
    <row r="222" ht="15.75" customHeight="1" s="51"/>
    <row r="223" ht="15.75" customHeight="1" s="51"/>
    <row r="224" ht="15.75" customHeight="1" s="51"/>
    <row r="225" ht="15.75" customHeight="1" s="51"/>
    <row r="226" ht="15.75" customHeight="1" s="51"/>
    <row r="227" ht="15.75" customHeight="1" s="51"/>
    <row r="228" ht="15.75" customHeight="1" s="51"/>
    <row r="229" ht="15.75" customHeight="1" s="51"/>
    <row r="230" ht="15.75" customHeight="1" s="51"/>
    <row r="231" ht="15.75" customHeight="1" s="51"/>
    <row r="232" ht="15.75" customHeight="1" s="51"/>
    <row r="233" ht="15.75" customHeight="1" s="51"/>
    <row r="234" ht="15.75" customHeight="1" s="51"/>
    <row r="235" ht="15.75" customHeight="1" s="51"/>
    <row r="236" ht="15.75" customHeight="1" s="51"/>
    <row r="237" ht="15.75" customHeight="1" s="51"/>
    <row r="238" ht="15.75" customHeight="1" s="51"/>
    <row r="239" ht="15.75" customHeight="1" s="51"/>
    <row r="240" ht="15.75" customHeight="1" s="51"/>
    <row r="241" ht="15.75" customHeight="1" s="51"/>
    <row r="242" ht="15.75" customHeight="1" s="51"/>
    <row r="243" ht="15.75" customHeight="1" s="51"/>
    <row r="244" ht="15.75" customHeight="1" s="51"/>
    <row r="245" ht="15.75" customHeight="1" s="51"/>
    <row r="246" ht="15.75" customHeight="1" s="51"/>
    <row r="247" ht="15.75" customHeight="1" s="51"/>
    <row r="248" ht="15.75" customHeight="1" s="51"/>
    <row r="249" ht="15.75" customHeight="1" s="51"/>
    <row r="250" ht="15.75" customHeight="1" s="51"/>
    <row r="251" ht="15.75" customHeight="1" s="51"/>
    <row r="252" ht="15.75" customHeight="1" s="51"/>
    <row r="253" ht="15.75" customHeight="1" s="51"/>
    <row r="254" ht="15.75" customHeight="1" s="51"/>
    <row r="255" ht="15.75" customHeight="1" s="51"/>
    <row r="256" ht="15.75" customHeight="1" s="51"/>
    <row r="257" ht="15.75" customHeight="1" s="51"/>
    <row r="258" ht="15.75" customHeight="1" s="51"/>
    <row r="259" ht="15.75" customHeight="1" s="51"/>
    <row r="260" ht="15.75" customHeight="1" s="51"/>
    <row r="261" ht="15.75" customHeight="1" s="51"/>
    <row r="262" ht="15.75" customHeight="1" s="51"/>
    <row r="263" ht="15.75" customHeight="1" s="51"/>
    <row r="264" ht="15.75" customHeight="1" s="51"/>
    <row r="265" ht="15.75" customHeight="1" s="51"/>
    <row r="266" ht="15.75" customHeight="1" s="51"/>
    <row r="267" ht="15.75" customHeight="1" s="51"/>
    <row r="268" ht="15.75" customHeight="1" s="51"/>
    <row r="269" ht="15.75" customHeight="1" s="51"/>
    <row r="270" ht="15.75" customHeight="1" s="51"/>
    <row r="271" ht="15.75" customHeight="1" s="51"/>
    <row r="272" ht="15.75" customHeight="1" s="51"/>
    <row r="273" ht="15.75" customHeight="1" s="51"/>
    <row r="274" ht="15.75" customHeight="1" s="51"/>
    <row r="275" ht="15.75" customHeight="1" s="51"/>
    <row r="276" ht="15.75" customHeight="1" s="51"/>
    <row r="277" ht="15.75" customHeight="1" s="51"/>
    <row r="278" ht="15.75" customHeight="1" s="51"/>
    <row r="279" ht="15.75" customHeight="1" s="51"/>
    <row r="280" ht="15.75" customHeight="1" s="51"/>
    <row r="281" ht="15.75" customHeight="1" s="51"/>
    <row r="282" ht="15.75" customHeight="1" s="51"/>
    <row r="283" ht="15.75" customHeight="1" s="51"/>
    <row r="284" ht="15.75" customHeight="1" s="51"/>
    <row r="285" ht="15.75" customHeight="1" s="51"/>
    <row r="286" ht="15.75" customHeight="1" s="51"/>
    <row r="287" ht="15.75" customHeight="1" s="51"/>
    <row r="288" ht="15.75" customHeight="1" s="51"/>
    <row r="289" ht="15.75" customHeight="1" s="51"/>
    <row r="290" ht="15.75" customHeight="1" s="51"/>
    <row r="291" ht="15.75" customHeight="1" s="51"/>
    <row r="292" ht="15.75" customHeight="1" s="51"/>
    <row r="293" ht="15.75" customHeight="1" s="51"/>
    <row r="294" ht="15.75" customHeight="1" s="51"/>
    <row r="295" ht="15.75" customHeight="1" s="51"/>
    <row r="296" ht="15.75" customHeight="1" s="51"/>
    <row r="297" ht="15.75" customHeight="1" s="51"/>
    <row r="298" ht="15.75" customHeight="1" s="51"/>
    <row r="299" ht="15.75" customHeight="1" s="51"/>
    <row r="300" ht="15.75" customHeight="1" s="51"/>
    <row r="301" ht="15.75" customHeight="1" s="51"/>
    <row r="302" ht="15.75" customHeight="1" s="51"/>
    <row r="303" ht="15.75" customHeight="1" s="51"/>
    <row r="304" ht="15.75" customHeight="1" s="51"/>
    <row r="305" ht="15.75" customHeight="1" s="51"/>
    <row r="306" ht="15.75" customHeight="1" s="51"/>
    <row r="307" ht="15.75" customHeight="1" s="51"/>
    <row r="308" ht="15.75" customHeight="1" s="51"/>
    <row r="309" ht="15.75" customHeight="1" s="51"/>
    <row r="310" ht="15.75" customHeight="1" s="51"/>
    <row r="311" ht="15.75" customHeight="1" s="51"/>
    <row r="312" ht="15.75" customHeight="1" s="51"/>
    <row r="313" ht="15.75" customHeight="1" s="51"/>
    <row r="314" ht="15.75" customHeight="1" s="51"/>
    <row r="315" ht="15.75" customHeight="1" s="51"/>
    <row r="316" ht="15.75" customHeight="1" s="51"/>
    <row r="317" ht="15.75" customHeight="1" s="51"/>
    <row r="318" ht="15.75" customHeight="1" s="51"/>
    <row r="319" ht="15.75" customHeight="1" s="51"/>
    <row r="320" ht="15.75" customHeight="1" s="51"/>
    <row r="321" ht="15.75" customHeight="1" s="51"/>
    <row r="322" ht="15.75" customHeight="1" s="51"/>
    <row r="323" ht="15.75" customHeight="1" s="51"/>
    <row r="324" ht="15.75" customHeight="1" s="51"/>
    <row r="325" ht="15.75" customHeight="1" s="51"/>
    <row r="326" ht="15.75" customHeight="1" s="51"/>
    <row r="327" ht="15.75" customHeight="1" s="51"/>
    <row r="328" ht="15.75" customHeight="1" s="51"/>
    <row r="329" ht="15.75" customHeight="1" s="51"/>
    <row r="330" ht="15.75" customHeight="1" s="51"/>
    <row r="331" ht="15.75" customHeight="1" s="51"/>
    <row r="332" ht="15.75" customHeight="1" s="51"/>
    <row r="333" ht="15.75" customHeight="1" s="51"/>
    <row r="334" ht="15.75" customHeight="1" s="51"/>
    <row r="335" ht="15.75" customHeight="1" s="51"/>
    <row r="336" ht="15.75" customHeight="1" s="51"/>
    <row r="337" ht="15.75" customHeight="1" s="51"/>
    <row r="338" ht="15.75" customHeight="1" s="51"/>
    <row r="339" ht="15.75" customHeight="1" s="51"/>
    <row r="340" ht="15.75" customHeight="1" s="51"/>
    <row r="341" ht="15.75" customHeight="1" s="51"/>
    <row r="342" ht="15.75" customHeight="1" s="51"/>
    <row r="343" ht="15.75" customHeight="1" s="51"/>
    <row r="344" ht="15.75" customHeight="1" s="51"/>
    <row r="345" ht="15.75" customHeight="1" s="51"/>
    <row r="346" ht="15.75" customHeight="1" s="51"/>
    <row r="347" ht="15.75" customHeight="1" s="51"/>
    <row r="348" ht="15.75" customHeight="1" s="51"/>
    <row r="349" ht="15.75" customHeight="1" s="51"/>
    <row r="350" ht="15.75" customHeight="1" s="51"/>
    <row r="351" ht="15.75" customHeight="1" s="51"/>
    <row r="352" ht="15.75" customHeight="1" s="51"/>
    <row r="353" ht="15.75" customHeight="1" s="51"/>
    <row r="354" ht="15.75" customHeight="1" s="51"/>
    <row r="355" ht="15.75" customHeight="1" s="51"/>
    <row r="356" ht="15.75" customHeight="1" s="51"/>
    <row r="357" ht="15.75" customHeight="1" s="51"/>
    <row r="358" ht="15.75" customHeight="1" s="51"/>
    <row r="359" ht="15.75" customHeight="1" s="51"/>
    <row r="360" ht="15.75" customHeight="1" s="51"/>
    <row r="361" ht="15.75" customHeight="1" s="51"/>
    <row r="362" ht="15.75" customHeight="1" s="51"/>
    <row r="363" ht="15.75" customHeight="1" s="51"/>
    <row r="364" ht="15.75" customHeight="1" s="51"/>
    <row r="365" ht="15.75" customHeight="1" s="51"/>
    <row r="366" ht="15.75" customHeight="1" s="51"/>
    <row r="367" ht="15.75" customHeight="1" s="51"/>
    <row r="368" ht="15.75" customHeight="1" s="51"/>
    <row r="369" ht="15.75" customHeight="1" s="51"/>
    <row r="370" ht="15.75" customHeight="1" s="51"/>
    <row r="371" ht="15.75" customHeight="1" s="51"/>
    <row r="372" ht="15.75" customHeight="1" s="51"/>
    <row r="373" ht="15.75" customHeight="1" s="51"/>
    <row r="374" ht="15.75" customHeight="1" s="51"/>
    <row r="375" ht="15.75" customHeight="1" s="51"/>
    <row r="376" ht="15.75" customHeight="1" s="51"/>
    <row r="377" ht="15.75" customHeight="1" s="51"/>
    <row r="378" ht="15.75" customHeight="1" s="51"/>
    <row r="379" ht="15.75" customHeight="1" s="51"/>
    <row r="380" ht="15.75" customHeight="1" s="51"/>
    <row r="381" ht="15.75" customHeight="1" s="51"/>
    <row r="382" ht="15.75" customHeight="1" s="51"/>
    <row r="383" ht="15.75" customHeight="1" s="51"/>
    <row r="384" ht="15.75" customHeight="1" s="51"/>
    <row r="385" ht="15.75" customHeight="1" s="51"/>
    <row r="386" ht="15.75" customHeight="1" s="51"/>
    <row r="387" ht="15.75" customHeight="1" s="51"/>
    <row r="388" ht="15.75" customHeight="1" s="51"/>
    <row r="389" ht="15.75" customHeight="1" s="51"/>
    <row r="390" ht="15.75" customHeight="1" s="51"/>
    <row r="391" ht="15.75" customHeight="1" s="51"/>
    <row r="392" ht="15.75" customHeight="1" s="51"/>
    <row r="393" ht="15.75" customHeight="1" s="51"/>
    <row r="394" ht="15.75" customHeight="1" s="51"/>
    <row r="395" ht="15.75" customHeight="1" s="51"/>
    <row r="396" ht="15.75" customHeight="1" s="51"/>
    <row r="397" ht="15.75" customHeight="1" s="51"/>
    <row r="398" ht="15.75" customHeight="1" s="51"/>
    <row r="399" ht="15.75" customHeight="1" s="51"/>
    <row r="400" ht="15.75" customHeight="1" s="51"/>
    <row r="401" ht="15.75" customHeight="1" s="51"/>
    <row r="402" ht="15.75" customHeight="1" s="51"/>
    <row r="403" ht="15.75" customHeight="1" s="51"/>
    <row r="404" ht="15.75" customHeight="1" s="51"/>
    <row r="405" ht="15.75" customHeight="1" s="51"/>
    <row r="406" ht="15.75" customHeight="1" s="51"/>
    <row r="407" ht="15.75" customHeight="1" s="51"/>
    <row r="408" ht="15.75" customHeight="1" s="51"/>
    <row r="409" ht="15.75" customHeight="1" s="51"/>
    <row r="410" ht="15.75" customHeight="1" s="51"/>
    <row r="411" ht="15.75" customHeight="1" s="51"/>
    <row r="412" ht="15.75" customHeight="1" s="51"/>
    <row r="413" ht="15.75" customHeight="1" s="51"/>
    <row r="414" ht="15.75" customHeight="1" s="51"/>
    <row r="415" ht="15.75" customHeight="1" s="51"/>
    <row r="416" ht="15.75" customHeight="1" s="51"/>
    <row r="417" ht="15.75" customHeight="1" s="51"/>
    <row r="418" ht="15.75" customHeight="1" s="51"/>
    <row r="419" ht="15.75" customHeight="1" s="51"/>
    <row r="420" ht="15.75" customHeight="1" s="51"/>
    <row r="421" ht="15.75" customHeight="1" s="51"/>
    <row r="422" ht="15.75" customHeight="1" s="51"/>
    <row r="423" ht="15.75" customHeight="1" s="51"/>
    <row r="424" ht="15.75" customHeight="1" s="51"/>
    <row r="425" ht="15.75" customHeight="1" s="51"/>
    <row r="426" ht="15.75" customHeight="1" s="51"/>
    <row r="427" ht="15.75" customHeight="1" s="51"/>
    <row r="428" ht="15.75" customHeight="1" s="51"/>
    <row r="429" ht="15.75" customHeight="1" s="51"/>
    <row r="430" ht="15.75" customHeight="1" s="51"/>
    <row r="431" ht="15.75" customHeight="1" s="51"/>
    <row r="432" ht="15.75" customHeight="1" s="51"/>
    <row r="433" ht="15.75" customHeight="1" s="51"/>
    <row r="434" ht="15.75" customHeight="1" s="51"/>
    <row r="435" ht="15.75" customHeight="1" s="51"/>
    <row r="436" ht="15.75" customHeight="1" s="51"/>
    <row r="437" ht="15.75" customHeight="1" s="51"/>
    <row r="438" ht="15.75" customHeight="1" s="51"/>
    <row r="439" ht="15.75" customHeight="1" s="51"/>
    <row r="440" ht="15.75" customHeight="1" s="51"/>
    <row r="441" ht="15.75" customHeight="1" s="51"/>
    <row r="442" ht="15.75" customHeight="1" s="51"/>
    <row r="443" ht="15.75" customHeight="1" s="51"/>
    <row r="444" ht="15.75" customHeight="1" s="51"/>
    <row r="445" ht="15.75" customHeight="1" s="51"/>
    <row r="446" ht="15.75" customHeight="1" s="51"/>
    <row r="447" ht="15.75" customHeight="1" s="51"/>
    <row r="448" ht="15.75" customHeight="1" s="51"/>
    <row r="449" ht="15.75" customHeight="1" s="51"/>
    <row r="450" ht="15.75" customHeight="1" s="51"/>
    <row r="451" ht="15.75" customHeight="1" s="51"/>
    <row r="452" ht="15.75" customHeight="1" s="51"/>
    <row r="453" ht="15.75" customHeight="1" s="51"/>
    <row r="454" ht="15.75" customHeight="1" s="51"/>
    <row r="455" ht="15.75" customHeight="1" s="51"/>
    <row r="456" ht="15.75" customHeight="1" s="51"/>
    <row r="457" ht="15.75" customHeight="1" s="51"/>
    <row r="458" ht="15.75" customHeight="1" s="51"/>
    <row r="459" ht="15.75" customHeight="1" s="51"/>
    <row r="460" ht="15.75" customHeight="1" s="51"/>
    <row r="461" ht="15.75" customHeight="1" s="51"/>
    <row r="462" ht="15.75" customHeight="1" s="51"/>
    <row r="463" ht="15.75" customHeight="1" s="51"/>
    <row r="464" ht="15.75" customHeight="1" s="51"/>
    <row r="465" ht="15.75" customHeight="1" s="51"/>
    <row r="466" ht="15.75" customHeight="1" s="51"/>
    <row r="467" ht="15.75" customHeight="1" s="51"/>
    <row r="468" ht="15.75" customHeight="1" s="51"/>
    <row r="469" ht="15.75" customHeight="1" s="51"/>
    <row r="470" ht="15.75" customHeight="1" s="51"/>
    <row r="471" ht="15.75" customHeight="1" s="51"/>
    <row r="472" ht="15.75" customHeight="1" s="51"/>
    <row r="473" ht="15.75" customHeight="1" s="51"/>
    <row r="474" ht="15.75" customHeight="1" s="51"/>
    <row r="475" ht="15.75" customHeight="1" s="51"/>
    <row r="476" ht="15.75" customHeight="1" s="51"/>
    <row r="477" ht="15.75" customHeight="1" s="51"/>
    <row r="478" ht="15.75" customHeight="1" s="51"/>
    <row r="479" ht="15.75" customHeight="1" s="51"/>
    <row r="480" ht="15.75" customHeight="1" s="51"/>
    <row r="481" ht="15.75" customHeight="1" s="51"/>
    <row r="482" ht="15.75" customHeight="1" s="51"/>
    <row r="483" ht="15.75" customHeight="1" s="51"/>
    <row r="484" ht="15.75" customHeight="1" s="51"/>
    <row r="485" ht="15.75" customHeight="1" s="51"/>
    <row r="486" ht="15.75" customHeight="1" s="51"/>
    <row r="487" ht="15.75" customHeight="1" s="51"/>
    <row r="488" ht="15.75" customHeight="1" s="51"/>
    <row r="489" ht="15.75" customHeight="1" s="51"/>
    <row r="490" ht="15.75" customHeight="1" s="51"/>
    <row r="491" ht="15.75" customHeight="1" s="51"/>
    <row r="492" ht="15.75" customHeight="1" s="51"/>
    <row r="493" ht="15.75" customHeight="1" s="51"/>
    <row r="494" ht="15.75" customHeight="1" s="51"/>
    <row r="495" ht="15.75" customHeight="1" s="51"/>
    <row r="496" ht="15.75" customHeight="1" s="51"/>
    <row r="497" ht="15.75" customHeight="1" s="51"/>
    <row r="498" ht="15.75" customHeight="1" s="51"/>
    <row r="499" ht="15.75" customHeight="1" s="51"/>
    <row r="500" ht="15.75" customHeight="1" s="51"/>
    <row r="501" ht="15.75" customHeight="1" s="51"/>
    <row r="502" ht="15.75" customHeight="1" s="51"/>
    <row r="503" ht="15.75" customHeight="1" s="51"/>
    <row r="504" ht="15.75" customHeight="1" s="51"/>
    <row r="505" ht="15.75" customHeight="1" s="51"/>
    <row r="506" ht="15.75" customHeight="1" s="51"/>
    <row r="507" ht="15.75" customHeight="1" s="51"/>
    <row r="508" ht="15.75" customHeight="1" s="51"/>
    <row r="509" ht="15.75" customHeight="1" s="51"/>
    <row r="510" ht="15.75" customHeight="1" s="51"/>
    <row r="511" ht="15.75" customHeight="1" s="51"/>
    <row r="512" ht="15.75" customHeight="1" s="51"/>
    <row r="513" ht="15.75" customHeight="1" s="51"/>
    <row r="514" ht="15.75" customHeight="1" s="51"/>
    <row r="515" ht="15.75" customHeight="1" s="51"/>
    <row r="516" ht="15.75" customHeight="1" s="51"/>
    <row r="517" ht="15.75" customHeight="1" s="51"/>
    <row r="518" ht="15.75" customHeight="1" s="51"/>
    <row r="519" ht="15.75" customHeight="1" s="51"/>
    <row r="520" ht="15.75" customHeight="1" s="51"/>
    <row r="521" ht="15.75" customHeight="1" s="51"/>
    <row r="522" ht="15.75" customHeight="1" s="51"/>
    <row r="523" ht="15.75" customHeight="1" s="51"/>
    <row r="524" ht="15.75" customHeight="1" s="51"/>
    <row r="525" ht="15.75" customHeight="1" s="51"/>
    <row r="526" ht="15.75" customHeight="1" s="51"/>
    <row r="527" ht="15.75" customHeight="1" s="51"/>
    <row r="528" ht="15.75" customHeight="1" s="51"/>
    <row r="529" ht="15.75" customHeight="1" s="51"/>
    <row r="530" ht="15.75" customHeight="1" s="51"/>
    <row r="531" ht="15.75" customHeight="1" s="51"/>
    <row r="532" ht="15.75" customHeight="1" s="51"/>
    <row r="533" ht="15.75" customHeight="1" s="51"/>
    <row r="534" ht="15.75" customHeight="1" s="51"/>
    <row r="535" ht="15.75" customHeight="1" s="51"/>
    <row r="536" ht="15.75" customHeight="1" s="51"/>
    <row r="537" ht="15.75" customHeight="1" s="51"/>
    <row r="538" ht="15.75" customHeight="1" s="51"/>
    <row r="539" ht="15.75" customHeight="1" s="51"/>
    <row r="540" ht="15.75" customHeight="1" s="51"/>
    <row r="541" ht="15.75" customHeight="1" s="51"/>
    <row r="542" ht="15.75" customHeight="1" s="51"/>
    <row r="543" ht="15.75" customHeight="1" s="51"/>
    <row r="544" ht="15.75" customHeight="1" s="51"/>
    <row r="545" ht="15.75" customHeight="1" s="51"/>
    <row r="546" ht="15.75" customHeight="1" s="51"/>
    <row r="547" ht="15.75" customHeight="1" s="51"/>
    <row r="548" ht="15.75" customHeight="1" s="51"/>
    <row r="549" ht="15.75" customHeight="1" s="51"/>
    <row r="550" ht="15.75" customHeight="1" s="51"/>
    <row r="551" ht="15.75" customHeight="1" s="51"/>
    <row r="552" ht="15.75" customHeight="1" s="51"/>
    <row r="553" ht="15.75" customHeight="1" s="51"/>
    <row r="554" ht="15.75" customHeight="1" s="51"/>
    <row r="555" ht="15.75" customHeight="1" s="51"/>
    <row r="556" ht="15.75" customHeight="1" s="51"/>
    <row r="557" ht="15.75" customHeight="1" s="51"/>
    <row r="558" ht="15.75" customHeight="1" s="51"/>
    <row r="559" ht="15.75" customHeight="1" s="51"/>
    <row r="560" ht="15.75" customHeight="1" s="51"/>
    <row r="561" ht="15.75" customHeight="1" s="51"/>
    <row r="562" ht="15.75" customHeight="1" s="51"/>
    <row r="563" ht="15.75" customHeight="1" s="51"/>
    <row r="564" ht="15.75" customHeight="1" s="51"/>
    <row r="565" ht="15.75" customHeight="1" s="51"/>
    <row r="566" ht="15.75" customHeight="1" s="51"/>
    <row r="567" ht="15.75" customHeight="1" s="51"/>
    <row r="568" ht="15.75" customHeight="1" s="51"/>
    <row r="569" ht="15.75" customHeight="1" s="51"/>
    <row r="570" ht="15.75" customHeight="1" s="51"/>
    <row r="571" ht="15.75" customHeight="1" s="51"/>
    <row r="572" ht="15.75" customHeight="1" s="51"/>
    <row r="573" ht="15.75" customHeight="1" s="51"/>
    <row r="574" ht="15.75" customHeight="1" s="51"/>
    <row r="575" ht="15.75" customHeight="1" s="51"/>
    <row r="576" ht="15.75" customHeight="1" s="51"/>
    <row r="577" ht="15.75" customHeight="1" s="51"/>
    <row r="578" ht="15.75" customHeight="1" s="51"/>
    <row r="579" ht="15.75" customHeight="1" s="51"/>
    <row r="580" ht="15.75" customHeight="1" s="51"/>
    <row r="581" ht="15.75" customHeight="1" s="51"/>
    <row r="582" ht="15.75" customHeight="1" s="51"/>
    <row r="583" ht="15.75" customHeight="1" s="51"/>
    <row r="584" ht="15.75" customHeight="1" s="51"/>
    <row r="585" ht="15.75" customHeight="1" s="51"/>
    <row r="586" ht="15.75" customHeight="1" s="51"/>
    <row r="587" ht="15.75" customHeight="1" s="51"/>
    <row r="588" ht="15.75" customHeight="1" s="51"/>
    <row r="589" ht="15.75" customHeight="1" s="51"/>
    <row r="590" ht="15.75" customHeight="1" s="51"/>
    <row r="591" ht="15.75" customHeight="1" s="51"/>
    <row r="592" ht="15.75" customHeight="1" s="51"/>
    <row r="593" ht="15.75" customHeight="1" s="51"/>
    <row r="594" ht="15.75" customHeight="1" s="51"/>
    <row r="595" ht="15.75" customHeight="1" s="51"/>
    <row r="596" ht="15.75" customHeight="1" s="51"/>
    <row r="597" ht="15.75" customHeight="1" s="51"/>
    <row r="598" ht="15.75" customHeight="1" s="51"/>
    <row r="599" ht="15.75" customHeight="1" s="51"/>
    <row r="600" ht="15.75" customHeight="1" s="51"/>
    <row r="601" ht="15.75" customHeight="1" s="51"/>
    <row r="602" ht="15.75" customHeight="1" s="51"/>
    <row r="603" ht="15.75" customHeight="1" s="51"/>
    <row r="604" ht="15.75" customHeight="1" s="51"/>
    <row r="605" ht="15.75" customHeight="1" s="51"/>
    <row r="606" ht="15.75" customHeight="1" s="51"/>
    <row r="607" ht="15.75" customHeight="1" s="51"/>
    <row r="608" ht="15.75" customHeight="1" s="51"/>
    <row r="609" ht="15.75" customHeight="1" s="51"/>
    <row r="610" ht="15.75" customHeight="1" s="51"/>
    <row r="611" ht="15.75" customHeight="1" s="51"/>
    <row r="612" ht="15.75" customHeight="1" s="51"/>
    <row r="613" ht="15.75" customHeight="1" s="51"/>
    <row r="614" ht="15.75" customHeight="1" s="51"/>
    <row r="615" ht="15.75" customHeight="1" s="51"/>
    <row r="616" ht="15.75" customHeight="1" s="51"/>
    <row r="617" ht="15.75" customHeight="1" s="51"/>
    <row r="618" ht="15.75" customHeight="1" s="51"/>
    <row r="619" ht="15.75" customHeight="1" s="51"/>
    <row r="620" ht="15.75" customHeight="1" s="51"/>
    <row r="621" ht="15.75" customHeight="1" s="51"/>
    <row r="622" ht="15.75" customHeight="1" s="51"/>
    <row r="623" ht="15.75" customHeight="1" s="51"/>
    <row r="624" ht="15.75" customHeight="1" s="51"/>
    <row r="625" ht="15.75" customHeight="1" s="51"/>
    <row r="626" ht="15.75" customHeight="1" s="51"/>
    <row r="627" ht="15.75" customHeight="1" s="51"/>
    <row r="628" ht="15.75" customHeight="1" s="51"/>
    <row r="629" ht="15.75" customHeight="1" s="51"/>
    <row r="630" ht="15.75" customHeight="1" s="51"/>
    <row r="631" ht="15.75" customHeight="1" s="51"/>
    <row r="632" ht="15.75" customHeight="1" s="51"/>
    <row r="633" ht="15.75" customHeight="1" s="51"/>
    <row r="634" ht="15.75" customHeight="1" s="51"/>
    <row r="635" ht="15.75" customHeight="1" s="51"/>
    <row r="636" ht="15.75" customHeight="1" s="51"/>
    <row r="637" ht="15.75" customHeight="1" s="51"/>
    <row r="638" ht="15.75" customHeight="1" s="51"/>
    <row r="639" ht="15.75" customHeight="1" s="51"/>
    <row r="640" ht="15.75" customHeight="1" s="51"/>
    <row r="641" ht="15.75" customHeight="1" s="51"/>
    <row r="642" ht="15.75" customHeight="1" s="51"/>
    <row r="643" ht="15.75" customHeight="1" s="51"/>
    <row r="644" ht="15.75" customHeight="1" s="51"/>
    <row r="645" ht="15.75" customHeight="1" s="51"/>
    <row r="646" ht="15.75" customHeight="1" s="51"/>
    <row r="647" ht="15.75" customHeight="1" s="51"/>
    <row r="648" ht="15.75" customHeight="1" s="51"/>
    <row r="649" ht="15.75" customHeight="1" s="51"/>
    <row r="650" ht="15.75" customHeight="1" s="51"/>
    <row r="651" ht="15.75" customHeight="1" s="51"/>
    <row r="652" ht="15.75" customHeight="1" s="51"/>
    <row r="653" ht="15.75" customHeight="1" s="51"/>
    <row r="654" ht="15.75" customHeight="1" s="51"/>
    <row r="655" ht="15.75" customHeight="1" s="51"/>
    <row r="656" ht="15.75" customHeight="1" s="51"/>
    <row r="657" ht="15.75" customHeight="1" s="51"/>
    <row r="658" ht="15.75" customHeight="1" s="51"/>
    <row r="659" ht="15.75" customHeight="1" s="51"/>
    <row r="660" ht="15.75" customHeight="1" s="51"/>
    <row r="661" ht="15.75" customHeight="1" s="51"/>
    <row r="662" ht="15.75" customHeight="1" s="51"/>
    <row r="663" ht="15.75" customHeight="1" s="51"/>
    <row r="664" ht="15.75" customHeight="1" s="51"/>
    <row r="665" ht="15.75" customHeight="1" s="51"/>
    <row r="666" ht="15.75" customHeight="1" s="51"/>
    <row r="667" ht="15.75" customHeight="1" s="51"/>
    <row r="668" ht="15.75" customHeight="1" s="51"/>
    <row r="669" ht="15.75" customHeight="1" s="51"/>
    <row r="670" ht="15.75" customHeight="1" s="51"/>
    <row r="671" ht="15.75" customHeight="1" s="51"/>
    <row r="672" ht="15.75" customHeight="1" s="51"/>
    <row r="673" ht="15.75" customHeight="1" s="51"/>
    <row r="674" ht="15.75" customHeight="1" s="51"/>
    <row r="675" ht="15.75" customHeight="1" s="51"/>
    <row r="676" ht="15.75" customHeight="1" s="51"/>
    <row r="677" ht="15.75" customHeight="1" s="51"/>
    <row r="678" ht="15.75" customHeight="1" s="51"/>
    <row r="679" ht="15.75" customHeight="1" s="51"/>
    <row r="680" ht="15.75" customHeight="1" s="51"/>
    <row r="681" ht="15.75" customHeight="1" s="51"/>
    <row r="682" ht="15.75" customHeight="1" s="51"/>
    <row r="683" ht="15.75" customHeight="1" s="51"/>
    <row r="684" ht="15.75" customHeight="1" s="51"/>
    <row r="685" ht="15.75" customHeight="1" s="51"/>
    <row r="686" ht="15.75" customHeight="1" s="51"/>
    <row r="687" ht="15.75" customHeight="1" s="51"/>
    <row r="688" ht="15.75" customHeight="1" s="51"/>
    <row r="689" ht="15.75" customHeight="1" s="51"/>
    <row r="690" ht="15.75" customHeight="1" s="51"/>
    <row r="691" ht="15.75" customHeight="1" s="51"/>
    <row r="692" ht="15.75" customHeight="1" s="51"/>
    <row r="693" ht="15.75" customHeight="1" s="51"/>
    <row r="694" ht="15.75" customHeight="1" s="51"/>
    <row r="695" ht="15.75" customHeight="1" s="51"/>
    <row r="696" ht="15.75" customHeight="1" s="51"/>
    <row r="697" ht="15.75" customHeight="1" s="51"/>
    <row r="698" ht="15.75" customHeight="1" s="51"/>
    <row r="699" ht="15.75" customHeight="1" s="51"/>
    <row r="700" ht="15.75" customHeight="1" s="51"/>
    <row r="701" ht="15.75" customHeight="1" s="51"/>
    <row r="702" ht="15.75" customHeight="1" s="51"/>
    <row r="703" ht="15.75" customHeight="1" s="51"/>
    <row r="704" ht="15.75" customHeight="1" s="51"/>
    <row r="705" ht="15.75" customHeight="1" s="51"/>
    <row r="706" ht="15.75" customHeight="1" s="51"/>
    <row r="707" ht="15.75" customHeight="1" s="51"/>
    <row r="708" ht="15.75" customHeight="1" s="51"/>
    <row r="709" ht="15.75" customHeight="1" s="51"/>
    <row r="710" ht="15.75" customHeight="1" s="51"/>
    <row r="711" ht="15.75" customHeight="1" s="51"/>
    <row r="712" ht="15.75" customHeight="1" s="51"/>
    <row r="713" ht="15.75" customHeight="1" s="51"/>
    <row r="714" ht="15.75" customHeight="1" s="51"/>
    <row r="715" ht="15.75" customHeight="1" s="51"/>
    <row r="716" ht="15.75" customHeight="1" s="51"/>
    <row r="717" ht="15.75" customHeight="1" s="51"/>
    <row r="718" ht="15.75" customHeight="1" s="51"/>
    <row r="719" ht="15.75" customHeight="1" s="51"/>
    <row r="720" ht="15.75" customHeight="1" s="51"/>
    <row r="721" ht="15.75" customHeight="1" s="51"/>
    <row r="722" ht="15.75" customHeight="1" s="51"/>
    <row r="723" ht="15.75" customHeight="1" s="51"/>
    <row r="724" ht="15.75" customHeight="1" s="51"/>
    <row r="725" ht="15.75" customHeight="1" s="51"/>
    <row r="726" ht="15.75" customHeight="1" s="51"/>
    <row r="727" ht="15.75" customHeight="1" s="51"/>
    <row r="728" ht="15.75" customHeight="1" s="51"/>
    <row r="729" ht="15.75" customHeight="1" s="51"/>
    <row r="730" ht="15.75" customHeight="1" s="51"/>
    <row r="731" ht="15.75" customHeight="1" s="51"/>
    <row r="732" ht="15.75" customHeight="1" s="51"/>
    <row r="733" ht="15.75" customHeight="1" s="51"/>
    <row r="734" ht="15.75" customHeight="1" s="51"/>
    <row r="735" ht="15.75" customHeight="1" s="51"/>
    <row r="736" ht="15.75" customHeight="1" s="51"/>
    <row r="737" ht="15.75" customHeight="1" s="51"/>
    <row r="738" ht="15.75" customHeight="1" s="51"/>
    <row r="739" ht="15.75" customHeight="1" s="51"/>
    <row r="740" ht="15.75" customHeight="1" s="51"/>
    <row r="741" ht="15.75" customHeight="1" s="51"/>
    <row r="742" ht="15.75" customHeight="1" s="51"/>
    <row r="743" ht="15.75" customHeight="1" s="51"/>
    <row r="744" ht="15.75" customHeight="1" s="51"/>
    <row r="745" ht="15.75" customHeight="1" s="51"/>
    <row r="746" ht="15.75" customHeight="1" s="51"/>
    <row r="747" ht="15.75" customHeight="1" s="51"/>
    <row r="748" ht="15.75" customHeight="1" s="51"/>
    <row r="749" ht="15.75" customHeight="1" s="51"/>
    <row r="750" ht="15.75" customHeight="1" s="51"/>
    <row r="751" ht="15.75" customHeight="1" s="51"/>
    <row r="752" ht="15.75" customHeight="1" s="51"/>
    <row r="753" ht="15.75" customHeight="1" s="51"/>
    <row r="754" ht="15.75" customHeight="1" s="51"/>
    <row r="755" ht="15.75" customHeight="1" s="51"/>
    <row r="756" ht="15.75" customHeight="1" s="51"/>
    <row r="757" ht="15.75" customHeight="1" s="51"/>
    <row r="758" ht="15.75" customHeight="1" s="51"/>
    <row r="759" ht="15.75" customHeight="1" s="51"/>
    <row r="760" ht="15.75" customHeight="1" s="51"/>
    <row r="761" ht="15.75" customHeight="1" s="51"/>
    <row r="762" ht="15.75" customHeight="1" s="51"/>
    <row r="763" ht="15.75" customHeight="1" s="51"/>
    <row r="764" ht="15.75" customHeight="1" s="51"/>
    <row r="765" ht="15.75" customHeight="1" s="51"/>
    <row r="766" ht="15.75" customHeight="1" s="51"/>
    <row r="767" ht="15.75" customHeight="1" s="51"/>
    <row r="768" ht="15.75" customHeight="1" s="51"/>
    <row r="769" ht="15.75" customHeight="1" s="51"/>
    <row r="770" ht="15.75" customHeight="1" s="51"/>
    <row r="771" ht="15.75" customHeight="1" s="51"/>
    <row r="772" ht="15.75" customHeight="1" s="51"/>
    <row r="773" ht="15.75" customHeight="1" s="51"/>
    <row r="774" ht="15.75" customHeight="1" s="51"/>
    <row r="775" ht="15.75" customHeight="1" s="51"/>
    <row r="776" ht="15.75" customHeight="1" s="51"/>
    <row r="777" ht="15.75" customHeight="1" s="51"/>
    <row r="778" ht="15.75" customHeight="1" s="51"/>
    <row r="779" ht="15.75" customHeight="1" s="51"/>
    <row r="780" ht="15.75" customHeight="1" s="51"/>
    <row r="781" ht="15.75" customHeight="1" s="51"/>
    <row r="782" ht="15.75" customHeight="1" s="51"/>
    <row r="783" ht="15.75" customHeight="1" s="51"/>
    <row r="784" ht="15.75" customHeight="1" s="51"/>
    <row r="785" ht="15.75" customHeight="1" s="51"/>
    <row r="786" ht="15.75" customHeight="1" s="51"/>
    <row r="787" ht="15.75" customHeight="1" s="51"/>
    <row r="788" ht="15.75" customHeight="1" s="51"/>
    <row r="789" ht="15.75" customHeight="1" s="51"/>
    <row r="790" ht="15.75" customHeight="1" s="51"/>
    <row r="791" ht="15.75" customHeight="1" s="51"/>
    <row r="792" ht="15.75" customHeight="1" s="51"/>
    <row r="793" ht="15.75" customHeight="1" s="51"/>
    <row r="794" ht="15.75" customHeight="1" s="51"/>
    <row r="795" ht="15.75" customHeight="1" s="51"/>
    <row r="796" ht="15.75" customHeight="1" s="51"/>
    <row r="797" ht="15.75" customHeight="1" s="51"/>
    <row r="798" ht="15.75" customHeight="1" s="51"/>
    <row r="799" ht="15.75" customHeight="1" s="51"/>
    <row r="800" ht="15.75" customHeight="1" s="51"/>
    <row r="801" ht="15.75" customHeight="1" s="51"/>
    <row r="802" ht="15.75" customHeight="1" s="51"/>
    <row r="803" ht="15.75" customHeight="1" s="51"/>
    <row r="804" ht="15.75" customHeight="1" s="51"/>
    <row r="805" ht="15.75" customHeight="1" s="51"/>
    <row r="806" ht="15.75" customHeight="1" s="51"/>
    <row r="807" ht="15.75" customHeight="1" s="51"/>
    <row r="808" ht="15.75" customHeight="1" s="51"/>
    <row r="809" ht="15.75" customHeight="1" s="51"/>
    <row r="810" ht="15.75" customHeight="1" s="51"/>
    <row r="811" ht="15.75" customHeight="1" s="51"/>
    <row r="812" ht="15.75" customHeight="1" s="51"/>
    <row r="813" ht="15.75" customHeight="1" s="51"/>
    <row r="814" ht="15.75" customHeight="1" s="51"/>
    <row r="815" ht="15.75" customHeight="1" s="51"/>
    <row r="816" ht="15.75" customHeight="1" s="51"/>
    <row r="817" ht="15.75" customHeight="1" s="51"/>
    <row r="818" ht="15.75" customHeight="1" s="51"/>
    <row r="819" ht="15.75" customHeight="1" s="51"/>
    <row r="820" ht="15.75" customHeight="1" s="51"/>
    <row r="821" ht="15.75" customHeight="1" s="51"/>
    <row r="822" ht="15.75" customHeight="1" s="51"/>
    <row r="823" ht="15.75" customHeight="1" s="51"/>
    <row r="824" ht="15.75" customHeight="1" s="51"/>
    <row r="825" ht="15.75" customHeight="1" s="51"/>
    <row r="826" ht="15.75" customHeight="1" s="51"/>
    <row r="827" ht="15.75" customHeight="1" s="51"/>
    <row r="828" ht="15.75" customHeight="1" s="51"/>
    <row r="829" ht="15.75" customHeight="1" s="51"/>
    <row r="830" ht="15.75" customHeight="1" s="51"/>
    <row r="831" ht="15.75" customHeight="1" s="51"/>
    <row r="832" ht="15.75" customHeight="1" s="51"/>
    <row r="833" ht="15.75" customHeight="1" s="51"/>
    <row r="834" ht="15.75" customHeight="1" s="51"/>
    <row r="835" ht="15.75" customHeight="1" s="51"/>
    <row r="836" ht="15.75" customHeight="1" s="51"/>
    <row r="837" ht="15.75" customHeight="1" s="51"/>
    <row r="838" ht="15.75" customHeight="1" s="51"/>
    <row r="839" ht="15.75" customHeight="1" s="51"/>
    <row r="840" ht="15.75" customHeight="1" s="51"/>
    <row r="841" ht="15.75" customHeight="1" s="51"/>
    <row r="842" ht="15.75" customHeight="1" s="51"/>
    <row r="843" ht="15.75" customHeight="1" s="51"/>
    <row r="844" ht="15.75" customHeight="1" s="51"/>
    <row r="845" ht="15.75" customHeight="1" s="51"/>
    <row r="846" ht="15.75" customHeight="1" s="51"/>
    <row r="847" ht="15.75" customHeight="1" s="51"/>
    <row r="848" ht="15.75" customHeight="1" s="51"/>
    <row r="849" ht="15.75" customHeight="1" s="51"/>
    <row r="850" ht="15.75" customHeight="1" s="51"/>
    <row r="851" ht="15.75" customHeight="1" s="51"/>
    <row r="852" ht="15.75" customHeight="1" s="51"/>
    <row r="853" ht="15.75" customHeight="1" s="51"/>
    <row r="854" ht="15.75" customHeight="1" s="51"/>
    <row r="855" ht="15.75" customHeight="1" s="51"/>
    <row r="856" ht="15.75" customHeight="1" s="51"/>
    <row r="857" ht="15.75" customHeight="1" s="51"/>
    <row r="858" ht="15.75" customHeight="1" s="51"/>
    <row r="859" ht="15.75" customHeight="1" s="51"/>
    <row r="860" ht="15.75" customHeight="1" s="51"/>
    <row r="861" ht="15.75" customHeight="1" s="51"/>
    <row r="862" ht="15.75" customHeight="1" s="51"/>
    <row r="863" ht="15.75" customHeight="1" s="51"/>
    <row r="864" ht="15.75" customHeight="1" s="51"/>
    <row r="865" ht="15.75" customHeight="1" s="51"/>
    <row r="866" ht="15.75" customHeight="1" s="51"/>
    <row r="867" ht="15.75" customHeight="1" s="51"/>
    <row r="868" ht="15.75" customHeight="1" s="51"/>
    <row r="869" ht="15.75" customHeight="1" s="51"/>
    <row r="870" ht="15.75" customHeight="1" s="51"/>
    <row r="871" ht="15.75" customHeight="1" s="51"/>
    <row r="872" ht="15.75" customHeight="1" s="51"/>
    <row r="873" ht="15.75" customHeight="1" s="51"/>
    <row r="874" ht="15.75" customHeight="1" s="51"/>
    <row r="875" ht="15.75" customHeight="1" s="51"/>
    <row r="876" ht="15.75" customHeight="1" s="51"/>
    <row r="877" ht="15.75" customHeight="1" s="51"/>
    <row r="878" ht="15.75" customHeight="1" s="51"/>
    <row r="879" ht="15.75" customHeight="1" s="51"/>
    <row r="880" ht="15.75" customHeight="1" s="51"/>
    <row r="881" ht="15.75" customHeight="1" s="51"/>
    <row r="882" ht="15.75" customHeight="1" s="51"/>
    <row r="883" ht="15.75" customHeight="1" s="51"/>
    <row r="884" ht="15.75" customHeight="1" s="51"/>
    <row r="885" ht="15.75" customHeight="1" s="51"/>
    <row r="886" ht="15.75" customHeight="1" s="51"/>
    <row r="887" ht="15.75" customHeight="1" s="51"/>
    <row r="888" ht="15.75" customHeight="1" s="51"/>
    <row r="889" ht="15.75" customHeight="1" s="51"/>
    <row r="890" ht="15.75" customHeight="1" s="51"/>
    <row r="891" ht="15.75" customHeight="1" s="51"/>
    <row r="892" ht="15.75" customHeight="1" s="51"/>
    <row r="893" ht="15.75" customHeight="1" s="51"/>
    <row r="894" ht="15.75" customHeight="1" s="51"/>
    <row r="895" ht="15.75" customHeight="1" s="51"/>
    <row r="896" ht="15.75" customHeight="1" s="51"/>
    <row r="897" ht="15.75" customHeight="1" s="51"/>
    <row r="898" ht="15.75" customHeight="1" s="51"/>
    <row r="899" ht="15.75" customHeight="1" s="51"/>
    <row r="900" ht="15.75" customHeight="1" s="51"/>
    <row r="901" ht="15.75" customHeight="1" s="51"/>
    <row r="902" ht="15.75" customHeight="1" s="51"/>
    <row r="903" ht="15.75" customHeight="1" s="51"/>
    <row r="904" ht="15.75" customHeight="1" s="51"/>
    <row r="905" ht="15.75" customHeight="1" s="51"/>
    <row r="906" ht="15.75" customHeight="1" s="51"/>
    <row r="907" ht="15.75" customHeight="1" s="51"/>
    <row r="908" ht="15.75" customHeight="1" s="51"/>
    <row r="909" ht="15.75" customHeight="1" s="51"/>
    <row r="910" ht="15.75" customHeight="1" s="51"/>
    <row r="911" ht="15.75" customHeight="1" s="51"/>
    <row r="912" ht="15.75" customHeight="1" s="51"/>
    <row r="913" ht="15.75" customHeight="1" s="51"/>
    <row r="914" ht="15.75" customHeight="1" s="51"/>
    <row r="915" ht="15.75" customHeight="1" s="51"/>
    <row r="916" ht="15.75" customHeight="1" s="51"/>
    <row r="917" ht="15.75" customHeight="1" s="51"/>
    <row r="918" ht="15.75" customHeight="1" s="51"/>
    <row r="919" ht="15.75" customHeight="1" s="51"/>
    <row r="920" ht="15.75" customHeight="1" s="51"/>
    <row r="921" ht="15.75" customHeight="1" s="51"/>
    <row r="922" ht="15.75" customHeight="1" s="51"/>
    <row r="923" ht="15.75" customHeight="1" s="51"/>
    <row r="924" ht="15.75" customHeight="1" s="51"/>
    <row r="925" ht="15.75" customHeight="1" s="51"/>
    <row r="926" ht="15.75" customHeight="1" s="51"/>
    <row r="927" ht="15.75" customHeight="1" s="51"/>
    <row r="928" ht="15.75" customHeight="1" s="51"/>
    <row r="929" ht="15.75" customHeight="1" s="51"/>
    <row r="930" ht="15.75" customHeight="1" s="51"/>
    <row r="931" ht="15.75" customHeight="1" s="51"/>
    <row r="932" ht="15.75" customHeight="1" s="51"/>
    <row r="933" ht="15.75" customHeight="1" s="51"/>
    <row r="934" ht="15.75" customHeight="1" s="51"/>
    <row r="935" ht="15.75" customHeight="1" s="51"/>
    <row r="936" ht="15.75" customHeight="1" s="51"/>
    <row r="937" ht="15.75" customHeight="1" s="51"/>
    <row r="938" ht="15.75" customHeight="1" s="51"/>
    <row r="939" ht="15.75" customHeight="1" s="51"/>
    <row r="940" ht="15.75" customHeight="1" s="51"/>
    <row r="941" ht="15.75" customHeight="1" s="51"/>
    <row r="942" ht="15.75" customHeight="1" s="51"/>
    <row r="943" ht="15.75" customHeight="1" s="51"/>
    <row r="944" ht="15.75" customHeight="1" s="51"/>
    <row r="945" ht="15.75" customHeight="1" s="51"/>
    <row r="946" ht="15.75" customHeight="1" s="51"/>
    <row r="947" ht="15.75" customHeight="1" s="51"/>
    <row r="948" ht="15.75" customHeight="1" s="51"/>
    <row r="949" ht="15.75" customHeight="1" s="51"/>
    <row r="950" ht="15.75" customHeight="1" s="51"/>
    <row r="951" ht="15.75" customHeight="1" s="51"/>
    <row r="952" ht="15.75" customHeight="1" s="51"/>
    <row r="953" ht="15.75" customHeight="1" s="51"/>
    <row r="954" ht="15.75" customHeight="1" s="51"/>
    <row r="955" ht="15.75" customHeight="1" s="51"/>
    <row r="956" ht="15.75" customHeight="1" s="51"/>
    <row r="957" ht="15.75" customHeight="1" s="51"/>
    <row r="958" ht="15.75" customHeight="1" s="51"/>
    <row r="959" ht="15.75" customHeight="1" s="51"/>
    <row r="960" ht="15.75" customHeight="1" s="51"/>
    <row r="961" ht="15.75" customHeight="1" s="51"/>
    <row r="962" ht="15.75" customHeight="1" s="51"/>
    <row r="963" ht="15.75" customHeight="1" s="51"/>
    <row r="964" ht="15.75" customHeight="1" s="51"/>
    <row r="965" ht="15.75" customHeight="1" s="51"/>
    <row r="966" ht="15.75" customHeight="1" s="51"/>
    <row r="967" ht="15.75" customHeight="1" s="51"/>
    <row r="968" ht="15.75" customHeight="1" s="51"/>
    <row r="969" ht="15.75" customHeight="1" s="51"/>
    <row r="970" ht="15.75" customHeight="1" s="51"/>
    <row r="971" ht="15.75" customHeight="1" s="51"/>
    <row r="972" ht="15.75" customHeight="1" s="51"/>
    <row r="973" ht="15.75" customHeight="1" s="51"/>
    <row r="974" ht="15.75" customHeight="1" s="51"/>
    <row r="975" ht="15.75" customHeight="1" s="51"/>
    <row r="976" ht="15.75" customHeight="1" s="51"/>
    <row r="977" ht="15.75" customHeight="1" s="51"/>
    <row r="978" ht="15.75" customHeight="1" s="51"/>
    <row r="979" ht="15.75" customHeight="1" s="51"/>
    <row r="980" ht="15.75" customHeight="1" s="51"/>
    <row r="981" ht="15.75" customHeight="1" s="51"/>
    <row r="982" ht="15.75" customHeight="1" s="51"/>
    <row r="983" ht="15.75" customHeight="1" s="51"/>
    <row r="984" ht="15.75" customHeight="1" s="51"/>
    <row r="985" ht="15.75" customHeight="1" s="51"/>
    <row r="986" ht="15.75" customHeight="1" s="51"/>
    <row r="987" ht="15.75" customHeight="1" s="51"/>
    <row r="988" ht="15.75" customHeight="1" s="51"/>
    <row r="989" ht="15.75" customHeight="1" s="51"/>
    <row r="990" ht="15.75" customHeight="1" s="51"/>
    <row r="991" ht="15.75" customHeight="1" s="51"/>
    <row r="992" ht="15.75" customHeight="1" s="51"/>
    <row r="993" ht="15.75" customHeight="1" s="51"/>
    <row r="994" ht="15.75" customHeight="1" s="51"/>
    <row r="995" ht="15.75" customHeight="1" s="51"/>
    <row r="996" ht="15.75" customHeight="1" s="51"/>
    <row r="997" ht="15.75" customHeight="1" s="51"/>
    <row r="998" ht="15.75" customHeight="1" s="51"/>
    <row r="999" ht="15.75" customHeight="1" s="51"/>
    <row r="1000" ht="15.75" customHeight="1" s="51"/>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2026-09-11T08:41:56Z</dcterms:created>
  <dcterms:modified xmlns:dcterms="http://purl.org/dc/terms/" xmlns:xsi="http://www.w3.org/2001/XMLSchema-instance" xsi:type="dcterms:W3CDTF">2026-09-11T08:41:56Z</dcterms:modified>
</cp:coreProperties>
</file>